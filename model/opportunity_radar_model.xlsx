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orecard" sheetId="2" state="visible" r:id="rId4"/>
    <sheet name="Scenarios" sheetId="3" state="visible" r:id="rId5"/>
    <sheet name="Inputs" sheetId="4" state="visible" r:id="rId6"/>
    <sheet name="GDP" sheetId="5" state="visible" r:id="rId7"/>
    <sheet name="Credit_Raw" sheetId="6" state="visible" r:id="rId8"/>
    <sheet name="Credit_Map" sheetId="7" state="visible" r:id="rId9"/>
    <sheet name="Signals" sheetId="8" state="visible" r:id="rId10"/>
    <sheet name="Python_Ref" sheetId="9" state="visible" r:id="rId11"/>
    <sheet name="Check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<sst xmlns="http://schemas.openxmlformats.org/spreadsheetml/2006/main" count="428" uniqueCount="347">
  <si>
    <t xml:space="preserve">Kenya Industry Opportunity Radar: model</t>
  </si>
  <si>
    <t xml:space="preserve">Real data: KNBS Quarterly GDP Q1 2026, CBK Bank Supervision Annual Report 2025, CBK Credit Officer Survey (June 2026), KNBS Economic Survey 2026.</t>
  </si>
  <si>
    <t xml:space="preserve">How to read: Scorecard ranks ten industry groups on five pillars. Change the scenario or weights on Inputs; everything recalculates.</t>
  </si>
  <si>
    <t xml:space="preserve">Blue cells are inputs; black cells are formulas. GDP and Credit_Map hold the editable mapping of activities and bank sectors to industry groups.</t>
  </si>
  <si>
    <t xml:space="preserve">Pillars: Scale (2025 real value added), Recent growth (Q1 2026 vs Q1 2025), Track record (2021-25 CAGR), Credit demand (net % of credit officers seeing higher demand, June 2026, loan-weighted), Credit health (inverse of NPL ratio, Dec 2025).</t>
  </si>
  <si>
    <t xml:space="preserve">Each pillar is min-max scaled to 0-100 across the ten groups. Groups with no matching bank sector (Public Sector &amp; Development, Health) get a neutral 50 on the two credit pillars.</t>
  </si>
  <si>
    <t xml:space="preserve">Transport and Communication is one CBK bank sector; it is shared by Technology, Media &amp; Telecom and Transport &amp; Logistics.</t>
  </si>
  <si>
    <t xml:space="preserve">Industry groups are an analyst grouping for this exercise, not any firm's official taxonomy. Professional services, other services, FISIM and taxes on products are excluded.</t>
  </si>
  <si>
    <t xml:space="preserve">Checks sheet compares every headline number with the independent Python calculation (analysis/model.py).</t>
  </si>
  <si>
    <t xml:space="preserve">Industry Opportunity Radar: scorecard</t>
  </si>
  <si>
    <t xml:space="preserve">Real KNBS and CBK data. Scenario selected on Inputs. Ranks 1 = highest priority.</t>
  </si>
  <si>
    <t xml:space="preserve">Scenario:</t>
  </si>
  <si>
    <t xml:space="preserve">Industry group</t>
  </si>
  <si>
    <t xml:space="preserve">Value added 2025 (KSh m)</t>
  </si>
  <si>
    <t xml:space="preserve">Share of GDP %</t>
  </si>
  <si>
    <t xml:space="preserve">Growth 2025 %</t>
  </si>
  <si>
    <t xml:space="preserve">CAGR 2021-25 %</t>
  </si>
  <si>
    <t xml:space="preserve">Growth Q1 2026 %</t>
  </si>
  <si>
    <t xml:space="preserve">Gross loans (KSh m)</t>
  </si>
  <si>
    <t xml:space="preserve">NPL ratio %</t>
  </si>
  <si>
    <t xml:space="preserve">Credit demand net %</t>
  </si>
  <si>
    <t xml:space="preserve">Scale (0-100)</t>
  </si>
  <si>
    <t xml:space="preserve">Recent growth</t>
  </si>
  <si>
    <t xml:space="preserve">Track record</t>
  </si>
  <si>
    <t xml:space="preserve">Credit demand</t>
  </si>
  <si>
    <t xml:space="preserve">Credit health</t>
  </si>
  <si>
    <t xml:space="preserve">Score</t>
  </si>
  <si>
    <t xml:space="preserve">Rank</t>
  </si>
  <si>
    <t xml:space="preserve">Tier</t>
  </si>
  <si>
    <t xml:space="preserve">Evidence</t>
  </si>
  <si>
    <t xml:space="preserve">Financial Services</t>
  </si>
  <si>
    <t xml:space="preserve">Energy &amp; Resources</t>
  </si>
  <si>
    <t xml:space="preserve">Technology, Media &amp; Telecom</t>
  </si>
  <si>
    <t xml:space="preserve">Transport &amp; Logistics</t>
  </si>
  <si>
    <t xml:space="preserve">Public Sector &amp; Development</t>
  </si>
  <si>
    <t xml:space="preserve">Health</t>
  </si>
  <si>
    <t xml:space="preserve">Consumer &amp; Retail</t>
  </si>
  <si>
    <t xml:space="preserve">Agribusiness</t>
  </si>
  <si>
    <t xml:space="preserve">Real Estate &amp; Construction</t>
  </si>
  <si>
    <t xml:space="preserve">Manufacturing</t>
  </si>
  <si>
    <t xml:space="preserve">Reading the table: growth and size say where the economy is moving; credit demand and NPLs say where banks see client activity and risk. Public Sector and Health have no matching bank sector, so their credit pillars are neutral.</t>
  </si>
  <si>
    <t xml:space="preserve">Scores and ranks under five weighting scenarios</t>
  </si>
  <si>
    <t xml:space="preserve">A robust priority stays near the top whatever the weights. Rank range shows sensitivity.</t>
  </si>
  <si>
    <t xml:space="preserve">Score: Balanced</t>
  </si>
  <si>
    <t xml:space="preserve">Score: Growth-led</t>
  </si>
  <si>
    <t xml:space="preserve">Score: Risk-aware</t>
  </si>
  <si>
    <t xml:space="preserve">Score: Scale-led</t>
  </si>
  <si>
    <t xml:space="preserve">Score: Equal</t>
  </si>
  <si>
    <t xml:space="preserve">Rank: Balanced</t>
  </si>
  <si>
    <t xml:space="preserve">Rank: Growth-led</t>
  </si>
  <si>
    <t xml:space="preserve">Rank: Risk-aware</t>
  </si>
  <si>
    <t xml:space="preserve">Rank: Scale-led</t>
  </si>
  <si>
    <t xml:space="preserve">Rank: Equal</t>
  </si>
  <si>
    <t xml:space="preserve">Best rank</t>
  </si>
  <si>
    <t xml:space="preserve">Worst rank</t>
  </si>
  <si>
    <t xml:space="preserve">Stability</t>
  </si>
  <si>
    <t xml:space="preserve">Inputs and scenario weights</t>
  </si>
  <si>
    <t xml:space="preserve">Weights are % of the total score. Pick the scenario used on the Scorecard.</t>
  </si>
  <si>
    <t xml:space="preserve">Selected scenario</t>
  </si>
  <si>
    <t xml:space="preserve">Balanced</t>
  </si>
  <si>
    <t xml:space="preserve">Neutral score for missing credit pillar</t>
  </si>
  <si>
    <t xml:space="preserve">Tier cut-off: Lead = rank at or below</t>
  </si>
  <si>
    <t xml:space="preserve">Tier cut-off: Grow = rank at or below</t>
  </si>
  <si>
    <t xml:space="preserve">Scenario</t>
  </si>
  <si>
    <t xml:space="preserve">Scale</t>
  </si>
  <si>
    <t xml:space="preserve">Total</t>
  </si>
  <si>
    <t xml:space="preserve">Growth-led</t>
  </si>
  <si>
    <t xml:space="preserve">Risk-aware</t>
  </si>
  <si>
    <t xml:space="preserve">Scale-led</t>
  </si>
  <si>
    <t xml:space="preserve">Equal</t>
  </si>
  <si>
    <t xml:space="preserve">KNBS real GDP by activity (constant 2016 prices, KSh million)</t>
  </si>
  <si>
    <t xml:space="preserve">Source: KNBS Quarterly Gross Domestic Product Report, First Quarter 2026, Table 2. Column B is the editable group mapping.</t>
  </si>
  <si>
    <t xml:space="preserve">Activity</t>
  </si>
  <si>
    <t xml:space="preserve">FY2021</t>
  </si>
  <si>
    <t xml:space="preserve">FY2024</t>
  </si>
  <si>
    <t xml:space="preserve">FY2025</t>
  </si>
  <si>
    <t xml:space="preserve">Q1 2025</t>
  </si>
  <si>
    <t xml:space="preserve">Q1 2026</t>
  </si>
  <si>
    <t xml:space="preserve">Agriculture</t>
  </si>
  <si>
    <t xml:space="preserve">Mining &amp; Quarrying</t>
  </si>
  <si>
    <t xml:space="preserve">Electricity &amp; Water Supply</t>
  </si>
  <si>
    <t xml:space="preserve">Construction</t>
  </si>
  <si>
    <t xml:space="preserve">Wholesale &amp; Retail Trade</t>
  </si>
  <si>
    <t xml:space="preserve">Accommodation &amp; Food Services</t>
  </si>
  <si>
    <t xml:space="preserve">Transportation &amp; Storage</t>
  </si>
  <si>
    <t xml:space="preserve">Information &amp; Communication</t>
  </si>
  <si>
    <t xml:space="preserve">Financial &amp; Insurance</t>
  </si>
  <si>
    <t xml:space="preserve">Public Administration</t>
  </si>
  <si>
    <t xml:space="preserve">Professional, Admin &amp; Support Services</t>
  </si>
  <si>
    <t xml:space="preserve">Excluded</t>
  </si>
  <si>
    <t xml:space="preserve">Real Estate</t>
  </si>
  <si>
    <t xml:space="preserve">Education</t>
  </si>
  <si>
    <t xml:space="preserve">Other Services</t>
  </si>
  <si>
    <t xml:space="preserve">FISIM</t>
  </si>
  <si>
    <t xml:space="preserve">All industries at basic prices (published)</t>
  </si>
  <si>
    <t xml:space="preserve">Sum of activities listed (excludes FISIM adjustment)</t>
  </si>
  <si>
    <t xml:space="preserve">Difference vs published (FISIM)</t>
  </si>
  <si>
    <t xml:space="preserve">CBK bank lending, NPLs and credit officer survey by sector</t>
  </si>
  <si>
    <t xml:space="preserve">Sources: CBK Bank Supervision Annual Report 2025, Table 18 (Dec 2025); CBK Credit Officer Survey, quarter ended June 2026 (% of respondents).</t>
  </si>
  <si>
    <t xml:space="preserve">Bank sector</t>
  </si>
  <si>
    <t xml:space="preserve">Loan accounts</t>
  </si>
  <si>
    <t xml:space="preserve">Gross loans KSh m</t>
  </si>
  <si>
    <t xml:space="preserve">Gross NPLs KSh m</t>
  </si>
  <si>
    <t xml:space="preserve">Demand: increased %</t>
  </si>
  <si>
    <t xml:space="preserve">Demand: unchanged %</t>
  </si>
  <si>
    <t xml:space="preserve">Demand: decreased %</t>
  </si>
  <si>
    <t xml:space="preserve">Standards: tightened %</t>
  </si>
  <si>
    <t xml:space="preserve">Standards: eased %</t>
  </si>
  <si>
    <t xml:space="preserve">NPL outlook: increase %</t>
  </si>
  <si>
    <t xml:space="preserve">NPL outlook: decrease %</t>
  </si>
  <si>
    <t xml:space="preserve">Trade</t>
  </si>
  <si>
    <t xml:space="preserve">Personal and Household</t>
  </si>
  <si>
    <t xml:space="preserve">Building and Construction</t>
  </si>
  <si>
    <t xml:space="preserve">Transport and Communication</t>
  </si>
  <si>
    <t xml:space="preserve">Tourism, Restaurant and Hotels</t>
  </si>
  <si>
    <t xml:space="preserve">Energy and Water</t>
  </si>
  <si>
    <t xml:space="preserve">Mining and Quarrying</t>
  </si>
  <si>
    <t xml:space="preserve">Mapping of industry groups to CBK bank sectors</t>
  </si>
  <si>
    <t xml:space="preserve">Editable (blue). Transport and Communication is shared by two groups.</t>
  </si>
  <si>
    <t xml:space="preserve">Gross loans</t>
  </si>
  <si>
    <t xml:space="preserve">Gross NPLs</t>
  </si>
  <si>
    <t xml:space="preserve">Demand up %</t>
  </si>
  <si>
    <t xml:space="preserve">Demand down %</t>
  </si>
  <si>
    <t xml:space="preserve">Real-economy signals, 2021-2025</t>
  </si>
  <si>
    <t xml:space="preserve">Source: KNBS Economic Survey 2026, Annex 1 Table 0 (2025 provisional).</t>
  </si>
  <si>
    <t xml:space="preserve">Indicator</t>
  </si>
  <si>
    <t xml:space="preserve">Unit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</si>
  <si>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</si>
  <si>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</si>
  <si>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</si>
  <si>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</si>
  <si>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</si>
  <si>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GDP (Current) at Market Prices</t>
  </si>
  <si>
    <t xml:space="preserve">KSh Mn</t>
  </si>
  <si>
    <t xml:space="preserve">Money Supply (M3)</t>
  </si>
  <si>
    <t xml:space="preserve">Total domestic credit</t>
  </si>
  <si>
    <t xml:space="preserve">Tea-marketed production</t>
  </si>
  <si>
    <t xml:space="preserve">'000 tonnes</t>
  </si>
  <si>
    <t xml:space="preserve">Fresh Horticultural Produce exports</t>
  </si>
  <si>
    <t xml:space="preserve">Milk sold centrally</t>
  </si>
  <si>
    <t xml:space="preserve">Mn litres</t>
  </si>
  <si>
    <t xml:space="preserve">Manufacturing output</t>
  </si>
  <si>
    <t xml:space="preserve">Construction output</t>
  </si>
  <si>
    <t xml:space="preserve">Cement Consumption</t>
  </si>
  <si>
    <t xml:space="preserve">Electricity consumption</t>
  </si>
  <si>
    <t xml:space="preserve">GWh</t>
  </si>
  <si>
    <t xml:space="preserve">Rail freight</t>
  </si>
  <si>
    <t xml:space="preserve">Air passengers handled</t>
  </si>
  <si>
    <t xml:space="preserve">'000 No.</t>
  </si>
  <si>
    <t xml:space="preserve">Mobile Subscriptions</t>
  </si>
  <si>
    <t xml:space="preserve">Total mobile money transfer</t>
  </si>
  <si>
    <t xml:space="preserve">KSh Bn</t>
  </si>
  <si>
    <t xml:space="preserve">Wage employment</t>
  </si>
  <si>
    <t xml:space="preserve">Education-University enrolment</t>
  </si>
  <si>
    <t xml:space="preserve">Licensed doctors and dentists</t>
  </si>
  <si>
    <t xml:space="preserve">Number</t>
  </si>
  <si>
    <t xml:space="preserve">Ordinary Revenue and Grants</t>
  </si>
  <si>
    <t xml:space="preserve">Total National Government Expenditure</t>
  </si>
  <si>
    <t xml:space="preserve">Independent Python results (analysis/model.py)</t>
  </si>
  <si>
    <t xml:space="preserve">group</t>
  </si>
  <si>
    <t xml:space="preserve">value_added_2025_ksh_m</t>
  </si>
  <si>
    <t xml:space="preserve">share_of_gdp_pct</t>
  </si>
  <si>
    <t xml:space="preserve">growth_2025_pct</t>
  </si>
  <si>
    <t xml:space="preserve">cagr_2021_25_pct</t>
  </si>
  <si>
    <t xml:space="preserve">growth_q1_2026_pct</t>
  </si>
  <si>
    <t xml:space="preserve">gross_loans_ksh_m</t>
  </si>
  <si>
    <t xml:space="preserve">npl_ratio_pct</t>
  </si>
  <si>
    <t xml:space="preserve">credit_demand_net_pct</t>
  </si>
  <si>
    <t xml:space="preserve">score_Balanced</t>
  </si>
  <si>
    <t xml:space="preserve">score_Growth-led</t>
  </si>
  <si>
    <t xml:space="preserve">score_Risk-aware</t>
  </si>
  <si>
    <t xml:space="preserve">score_Scale-led</t>
  </si>
  <si>
    <t xml:space="preserve">score_Equal</t>
  </si>
  <si>
    <t xml:space="preserve">rank_Balanced</t>
  </si>
  <si>
    <t xml:space="preserve">rank_Growth-led</t>
  </si>
  <si>
    <t xml:space="preserve">rank_Risk-aware</t>
  </si>
  <si>
    <t xml:space="preserve">rank_Scale-led</t>
  </si>
  <si>
    <t xml:space="preserve">rank_Equal</t>
  </si>
  <si>
    <t xml:space="preserve">Reconciliation: workbook formulas vs Python</t>
  </si>
  <si>
    <t xml:space="preserve">Absolute tolerance 0.001 (levels 0.5).</t>
  </si>
  <si>
    <t xml:space="preserve">Check</t>
  </si>
  <si>
    <t xml:space="preserve">Workbook</t>
  </si>
  <si>
    <t xml:space="preserve">Python</t>
  </si>
  <si>
    <t xml:space="preserve">Abs diff</t>
  </si>
  <si>
    <t xml:space="preserve">Result</t>
  </si>
  <si>
    <t xml:space="preserve">Financial Services: value added</t>
  </si>
  <si>
    <t xml:space="preserve">Financial Services: growth 2025</t>
  </si>
  <si>
    <t xml:space="preserve">Financial Services: CAGR</t>
  </si>
  <si>
    <t xml:space="preserve">Financial Services: Q1 2026 growth</t>
  </si>
  <si>
    <t xml:space="preserve">Financial Services: NPL ratio</t>
  </si>
  <si>
    <t xml:space="preserve">Financial Services: credit demand net</t>
  </si>
  <si>
    <t xml:space="preserve">Financial Services: score Balanced</t>
  </si>
  <si>
    <t xml:space="preserve">Financial Services: rank Balanced</t>
  </si>
  <si>
    <t xml:space="preserve">Financial Services: score Growth-led</t>
  </si>
  <si>
    <t xml:space="preserve">Financial Services: rank Growth-led</t>
  </si>
  <si>
    <t xml:space="preserve">Financial Services: score Risk-aware</t>
  </si>
  <si>
    <t xml:space="preserve">Financial Services: rank Risk-aware</t>
  </si>
  <si>
    <t xml:space="preserve">Financial Services: score Scale-led</t>
  </si>
  <si>
    <t xml:space="preserve">Financial Services: rank Scale-led</t>
  </si>
  <si>
    <t xml:space="preserve">Financial Services: score Equal</t>
  </si>
  <si>
    <t xml:space="preserve">Financial Services: rank Equal</t>
  </si>
  <si>
    <t xml:space="preserve">Energy &amp; Resources: value added</t>
  </si>
  <si>
    <t xml:space="preserve">Energy &amp; Resources: growth 2025</t>
  </si>
  <si>
    <t xml:space="preserve">Energy &amp; Resources: CAGR</t>
  </si>
  <si>
    <t xml:space="preserve">Energy &amp; Resources: Q1 2026 growth</t>
  </si>
  <si>
    <t xml:space="preserve">Energy &amp; Resources: NPL ratio</t>
  </si>
  <si>
    <t xml:space="preserve">Energy &amp; Resources: credit demand net</t>
  </si>
  <si>
    <t xml:space="preserve">Energy &amp; Resources: score Balanced</t>
  </si>
  <si>
    <t xml:space="preserve">Energy &amp; Resources: rank Balanced</t>
  </si>
  <si>
    <t xml:space="preserve">Energy &amp; Resources: score Growth-led</t>
  </si>
  <si>
    <t xml:space="preserve">Energy &amp; Resources: rank Growth-led</t>
  </si>
  <si>
    <t xml:space="preserve">Energy &amp; Resources: score Risk-aware</t>
  </si>
  <si>
    <t xml:space="preserve">Energy &amp; Resources: rank Risk-aware</t>
  </si>
  <si>
    <t xml:space="preserve">Energy &amp; Resources: score Scale-led</t>
  </si>
  <si>
    <t xml:space="preserve">Energy &amp; Resources: rank Scale-led</t>
  </si>
  <si>
    <t xml:space="preserve">Energy &amp; Resources: score Equal</t>
  </si>
  <si>
    <t xml:space="preserve">Energy &amp; Resources: rank Equal</t>
  </si>
  <si>
    <t xml:space="preserve">Technology, Media &amp; Telecom: value added</t>
  </si>
  <si>
    <t xml:space="preserve">Technology, Media &amp; Telecom: growth 2025</t>
  </si>
  <si>
    <t xml:space="preserve">Technology, Media &amp; Telecom: CAGR</t>
  </si>
  <si>
    <t xml:space="preserve">Technology, Media &amp; Telecom: Q1 2026 growth</t>
  </si>
  <si>
    <t xml:space="preserve">Technology, Media &amp; Telecom: NPL ratio</t>
  </si>
  <si>
    <t xml:space="preserve">Technology, Media &amp; Telecom: credit demand net</t>
  </si>
  <si>
    <t xml:space="preserve">Technology, Media &amp; Telecom: score Balanced</t>
  </si>
  <si>
    <t xml:space="preserve">Technology, Media &amp; Telecom: rank Balanced</t>
  </si>
  <si>
    <t xml:space="preserve">Technology, Media &amp; Telecom: score Growth-led</t>
  </si>
  <si>
    <t xml:space="preserve">Technology, Media &amp; Telecom: rank Growth-led</t>
  </si>
  <si>
    <t xml:space="preserve">Technology, Media &amp; Telecom: score Risk-aware</t>
  </si>
  <si>
    <t xml:space="preserve">Technology, Media &amp; Telecom: rank Risk-aware</t>
  </si>
  <si>
    <t xml:space="preserve">Technology, Media &amp; Telecom: score Scale-led</t>
  </si>
  <si>
    <t xml:space="preserve">Technology, Media &amp; Telecom: rank Scale-led</t>
  </si>
  <si>
    <t xml:space="preserve">Technology, Media &amp; Telecom: score Equal</t>
  </si>
  <si>
    <t xml:space="preserve">Technology, Media &amp; Telecom: rank Equal</t>
  </si>
  <si>
    <t xml:space="preserve">Transport &amp; Logistics: value added</t>
  </si>
  <si>
    <t xml:space="preserve">Transport &amp; Logistics: growth 2025</t>
  </si>
  <si>
    <t xml:space="preserve">Transport &amp; Logistics: CAGR</t>
  </si>
  <si>
    <t xml:space="preserve">Transport &amp; Logistics: Q1 2026 growth</t>
  </si>
  <si>
    <t xml:space="preserve">Transport &amp; Logistics: NPL ratio</t>
  </si>
  <si>
    <t xml:space="preserve">Transport &amp; Logistics: credit demand net</t>
  </si>
  <si>
    <t xml:space="preserve">Transport &amp; Logistics: score Balanced</t>
  </si>
  <si>
    <t xml:space="preserve">Transport &amp; Logistics: rank Balanced</t>
  </si>
  <si>
    <t xml:space="preserve">Transport &amp; Logistics: score Growth-led</t>
  </si>
  <si>
    <t xml:space="preserve">Transport &amp; Logistics: rank Growth-led</t>
  </si>
  <si>
    <t xml:space="preserve">Transport &amp; Logistics: score Risk-aware</t>
  </si>
  <si>
    <t xml:space="preserve">Transport &amp; Logistics: rank Risk-aware</t>
  </si>
  <si>
    <t xml:space="preserve">Transport &amp; Logistics: score Scale-led</t>
  </si>
  <si>
    <t xml:space="preserve">Transport &amp; Logistics: rank Scale-led</t>
  </si>
  <si>
    <t xml:space="preserve">Transport &amp; Logistics: score Equal</t>
  </si>
  <si>
    <t xml:space="preserve">Transport &amp; Logistics: rank Equal</t>
  </si>
  <si>
    <t xml:space="preserve">Public Sector &amp; Development: value added</t>
  </si>
  <si>
    <t xml:space="preserve">Public Sector &amp; Development: growth 2025</t>
  </si>
  <si>
    <t xml:space="preserve">Public Sector &amp; Development: CAGR</t>
  </si>
  <si>
    <t xml:space="preserve">Public Sector &amp; Development: Q1 2026 growth</t>
  </si>
  <si>
    <t xml:space="preserve">Public Sector &amp; Development: score Balanced</t>
  </si>
  <si>
    <t xml:space="preserve">Public Sector &amp; Development: rank Balanced</t>
  </si>
  <si>
    <t xml:space="preserve">Public Sector &amp; Development: score Growth-led</t>
  </si>
  <si>
    <t xml:space="preserve">Public Sector &amp; Development: rank Growth-led</t>
  </si>
  <si>
    <t xml:space="preserve">Public Sector &amp; Development: score Risk-aware</t>
  </si>
  <si>
    <t xml:space="preserve">Public Sector &amp; Development: rank Risk-aware</t>
  </si>
  <si>
    <t xml:space="preserve">Public Sector &amp; Development: score Scale-led</t>
  </si>
  <si>
    <t xml:space="preserve">Public Sector &amp; Development: rank Scale-led</t>
  </si>
  <si>
    <t xml:space="preserve">Public Sector &amp; Development: score Equal</t>
  </si>
  <si>
    <t xml:space="preserve">Public Sector &amp; Development: rank Equal</t>
  </si>
  <si>
    <t xml:space="preserve">Health: value added</t>
  </si>
  <si>
    <t xml:space="preserve">Health: growth 2025</t>
  </si>
  <si>
    <t xml:space="preserve">Health: CAGR</t>
  </si>
  <si>
    <t xml:space="preserve">Health: Q1 2026 growth</t>
  </si>
  <si>
    <t xml:space="preserve">Health: score Balanced</t>
  </si>
  <si>
    <t xml:space="preserve">Health: rank Balanced</t>
  </si>
  <si>
    <t xml:space="preserve">Health: score Growth-led</t>
  </si>
  <si>
    <t xml:space="preserve">Health: rank Growth-led</t>
  </si>
  <si>
    <t xml:space="preserve">Health: score Risk-aware</t>
  </si>
  <si>
    <t xml:space="preserve">Health: rank Risk-aware</t>
  </si>
  <si>
    <t xml:space="preserve">Health: score Scale-led</t>
  </si>
  <si>
    <t xml:space="preserve">Health: rank Scale-led</t>
  </si>
  <si>
    <t xml:space="preserve">Health: score Equal</t>
  </si>
  <si>
    <t xml:space="preserve">Health: rank Equal</t>
  </si>
  <si>
    <t xml:space="preserve">Consumer &amp; Retail: value added</t>
  </si>
  <si>
    <t xml:space="preserve">Consumer &amp; Retail: growth 2025</t>
  </si>
  <si>
    <t xml:space="preserve">Consumer &amp; Retail: CAGR</t>
  </si>
  <si>
    <t xml:space="preserve">Consumer &amp; Retail: Q1 2026 growth</t>
  </si>
  <si>
    <t xml:space="preserve">Consumer &amp; Retail: NPL ratio</t>
  </si>
  <si>
    <t xml:space="preserve">Consumer &amp; Retail: credit demand net</t>
  </si>
  <si>
    <t xml:space="preserve">Consumer &amp; Retail: score Balanced</t>
  </si>
  <si>
    <t xml:space="preserve">Consumer &amp; Retail: rank Balanced</t>
  </si>
  <si>
    <t xml:space="preserve">Consumer &amp; Retail: score Growth-led</t>
  </si>
  <si>
    <t xml:space="preserve">Consumer &amp; Retail: rank Growth-led</t>
  </si>
  <si>
    <t xml:space="preserve">Consumer &amp; Retail: score Risk-aware</t>
  </si>
  <si>
    <t xml:space="preserve">Consumer &amp; Retail: rank Risk-aware</t>
  </si>
  <si>
    <t xml:space="preserve">Consumer &amp; Retail: score Scale-led</t>
  </si>
  <si>
    <t xml:space="preserve">Consumer &amp; Retail: rank Scale-led</t>
  </si>
  <si>
    <t xml:space="preserve">Consumer &amp; Retail: score Equal</t>
  </si>
  <si>
    <t xml:space="preserve">Consumer &amp; Retail: rank Equal</t>
  </si>
  <si>
    <t xml:space="preserve">Agribusiness: value added</t>
  </si>
  <si>
    <t xml:space="preserve">Agribusiness: growth 2025</t>
  </si>
  <si>
    <t xml:space="preserve">Agribusiness: CAGR</t>
  </si>
  <si>
    <t xml:space="preserve">Agribusiness: Q1 2026 growth</t>
  </si>
  <si>
    <t xml:space="preserve">Agribusiness: NPL ratio</t>
  </si>
  <si>
    <t xml:space="preserve">Agribusiness: credit demand net</t>
  </si>
  <si>
    <t xml:space="preserve">Agribusiness: score Balanced</t>
  </si>
  <si>
    <t xml:space="preserve">Agribusiness: rank Balanced</t>
  </si>
  <si>
    <t xml:space="preserve">Agribusiness: score Growth-led</t>
  </si>
  <si>
    <t xml:space="preserve">Agribusiness: rank Growth-led</t>
  </si>
  <si>
    <t xml:space="preserve">Agribusiness: score Risk-aware</t>
  </si>
  <si>
    <t xml:space="preserve">Agribusiness: rank Risk-aware</t>
  </si>
  <si>
    <t xml:space="preserve">Agribusiness: score Scale-led</t>
  </si>
  <si>
    <t xml:space="preserve">Agribusiness: rank Scale-led</t>
  </si>
  <si>
    <t xml:space="preserve">Agribusiness: score Equal</t>
  </si>
  <si>
    <t xml:space="preserve">Agribusiness: rank Equal</t>
  </si>
  <si>
    <t xml:space="preserve">Real Estate &amp; Construction: value added</t>
  </si>
  <si>
    <t xml:space="preserve">Real Estate &amp; Construction: growth 2025</t>
  </si>
  <si>
    <t xml:space="preserve">Real Estate &amp; Construction: CAGR</t>
  </si>
  <si>
    <t xml:space="preserve">Real Estate &amp; Construction: Q1 2026 growth</t>
  </si>
  <si>
    <t xml:space="preserve">Real Estate &amp; Construction: NPL ratio</t>
  </si>
  <si>
    <t xml:space="preserve">Real Estate &amp; Construction: credit demand net</t>
  </si>
  <si>
    <t xml:space="preserve">Real Estate &amp; Construction: score Balanced</t>
  </si>
  <si>
    <t xml:space="preserve">Real Estate &amp; Construction: rank Balanced</t>
  </si>
  <si>
    <t xml:space="preserve">Real Estate &amp; Construction: score Growth-led</t>
  </si>
  <si>
    <t xml:space="preserve">Real Estate &amp; Construction: rank Growth-led</t>
  </si>
  <si>
    <t xml:space="preserve">Real Estate &amp; Construction: score Risk-aware</t>
  </si>
  <si>
    <t xml:space="preserve">Real Estate &amp; Construction: rank Risk-aware</t>
  </si>
  <si>
    <t xml:space="preserve">Real Estate &amp; Construction: score Scale-led</t>
  </si>
  <si>
    <t xml:space="preserve">Real Estate &amp; Construction: rank Scale-led</t>
  </si>
  <si>
    <t xml:space="preserve">Real Estate &amp; Construction: score Equal</t>
  </si>
  <si>
    <t xml:space="preserve">Real Estate &amp; Construction: rank Equal</t>
  </si>
  <si>
    <t xml:space="preserve">Manufacturing: value added</t>
  </si>
  <si>
    <t xml:space="preserve">Manufacturing: growth 2025</t>
  </si>
  <si>
    <t xml:space="preserve">Manufacturing: CAGR</t>
  </si>
  <si>
    <t xml:space="preserve">Manufacturing: Q1 2026 growth</t>
  </si>
  <si>
    <t xml:space="preserve">Manufacturing: NPL ratio</t>
  </si>
  <si>
    <t xml:space="preserve">Manufacturing: credit demand net</t>
  </si>
  <si>
    <t xml:space="preserve">Manufacturing: score Balanced</t>
  </si>
  <si>
    <t xml:space="preserve">Manufacturing: rank Balanced</t>
  </si>
  <si>
    <t xml:space="preserve">Manufacturing: score Growth-led</t>
  </si>
  <si>
    <t xml:space="preserve">Manufacturing: rank Growth-led</t>
  </si>
  <si>
    <t xml:space="preserve">Manufacturing: score Risk-aware</t>
  </si>
  <si>
    <t xml:space="preserve">Manufacturing: rank Risk-aware</t>
  </si>
  <si>
    <t xml:space="preserve">Manufacturing: score Scale-led</t>
  </si>
  <si>
    <t xml:space="preserve">Manufacturing: rank Scale-led</t>
  </si>
  <si>
    <t xml:space="preserve">Manufacturing: score Equal</t>
  </si>
  <si>
    <t xml:space="preserve">Manufacturing: rank Equal</t>
  </si>
  <si>
    <t xml:space="preserve">Sum of 11 bank-sector loans = CBK published total (4,347,164.1)</t>
  </si>
  <si>
    <t xml:space="preserve">Sum of NPLs = CBK published total (696,931.0)</t>
  </si>
  <si>
    <t xml:space="preserve">Aggregate NPL ratio = 16.0% (CBK Table 20)</t>
  </si>
  <si>
    <t xml:space="preserve">FY2025 all-industries growth vs KNBS Table 3 (4.8%)</t>
  </si>
  <si>
    <t xml:space="preserve">Q1 2026 all-industry growth vs KNBS 5.4%</t>
  </si>
  <si>
    <t xml:space="preserve">OVERALL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</si>
</sst>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"/>
    <numFmt numFmtId="168" formatCode="#,##0.0"/>
    <numFmt numFmtId="169" formatCode="#,##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202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FE3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12202B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Opportunity score by industry group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Scorecard!O5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Scorecard!$A$6:$A$15</c:f>
              <c:strCache>
                <c:ptCount val="10"/>
                <c:pt idx="0">
                  <c:v>Financial Services</c:v>
                </c:pt>
                <c:pt idx="1">
                  <c:v>Energy &amp; Resources</c:v>
                </c:pt>
                <c:pt idx="2">
                  <c:v>Technology, Media &amp; Telecom</c:v>
                </c:pt>
                <c:pt idx="3">
                  <c:v>Transport &amp; Logistics</c:v>
                </c:pt>
                <c:pt idx="4">
                  <c:v>Public Sector &amp; Development</c:v>
                </c:pt>
                <c:pt idx="5">
                  <c:v>Health</c:v>
                </c:pt>
                <c:pt idx="6">
                  <c:v>Consumer &amp; Retail</c:v>
                </c:pt>
                <c:pt idx="7">
                  <c:v>Agribusiness</c:v>
                </c:pt>
                <c:pt idx="8">
                  <c:v>Real Estate &amp; Construction</c:v>
                </c:pt>
                <c:pt idx="9">
                  <c:v>Manufacturing</c:v>
                </c:pt>
              </c:strCache>
            </c:strRef>
          </c:cat>
          <c:val>
            <c:numRef>
              <c:f>Scorecard!$O$6:$O$15</c:f>
              <c:numCache>
                <c:formatCode>0.0</c:formatCode>
                <c:ptCount val="10"/>
                <c:pt idx="0">
                  <c:v>76.7468772802063</c:v>
                </c:pt>
                <c:pt idx="1">
                  <c:v>45.253634422397</c:v>
                </c:pt>
                <c:pt idx="2">
                  <c:v>33.8935717123099</c:v>
                </c:pt>
                <c:pt idx="3">
                  <c:v>22.5672498842338</c:v>
                </c:pt>
                <c:pt idx="4">
                  <c:v>60.8105480510694</c:v>
                </c:pt>
                <c:pt idx="5">
                  <c:v>32.1369885543345</c:v>
                </c:pt>
                <c:pt idx="6">
                  <c:v>63.2494964805595</c:v>
                </c:pt>
                <c:pt idx="7">
                  <c:v>43.5060581659278</c:v>
                </c:pt>
                <c:pt idx="8">
                  <c:v>41.5386836277037</c:v>
                </c:pt>
                <c:pt idx="9">
                  <c:v>30.4775076577492</c:v>
                </c:pt>
              </c:numCache>
            </c:numRef>
          </c:val>
        </c:ser>
        <c:gapWidth val="150"/>
        <c:overlap val="0"/>
        <c:axId val="15100093"/>
        <c:axId val="48996268"/>
      </c:barChart>
      <c:catAx>
        <c:axId val="15100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96268"/>
        <c:crosses val="autoZero"/>
        <c:auto val="1"/>
        <c:lblAlgn val="ctr"/>
        <c:lblOffset val="100"/>
        <c:noMultiLvlLbl val="0"/>
      </c:catAx>
      <c:valAx>
        <c:axId val="4899626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00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7</xdr:col>
      <xdr:colOff>377640</xdr:colOff>
      <xdr:row>33</xdr:row>
      <xdr:rowOff>161640</xdr:rowOff>
    </xdr:to>
    <xdr:graphicFrame>
      <xdr:nvGraphicFramePr>
        <xdr:cNvPr id="0" name="Chart 1"/>
        <xdr:cNvGraphicFramePr/>
      </xdr:nvGraphicFramePr>
      <xdr:xfrm>
        <a:off x="0" y="35812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4" min="10" style="0" width="10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26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3" customFormat="false" ht="15" hidden="false" customHeight="false" outlineLevel="0" collapsed="false">
      <c r="A3" s="4" t="s">
        <v>11</v>
      </c>
      <c r="B3" s="5" t="str">
        <f aca="false">Inputs!B3</f>
        <v>Balanced</v>
      </c>
    </row>
    <row r="5" customFormat="false" ht="42" hidden="false" customHeight="true" outlineLevel="0" collapsed="false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6" t="s">
        <v>27</v>
      </c>
      <c r="Q5" s="6" t="s">
        <v>28</v>
      </c>
      <c r="R5" s="6" t="s">
        <v>29</v>
      </c>
    </row>
    <row r="6" customFormat="false" ht="15" hidden="false" customHeight="false" outlineLevel="0" collapsed="false">
      <c r="A6" s="4" t="s">
        <v>30</v>
      </c>
      <c r="B6" s="7" t="n">
        <f aca="false">SUMIFS(GDP!$E$5:$E$21,GDP!$B$5:$B$21,$A6)</f>
        <v>1134626</v>
      </c>
      <c r="C6" s="8" t="n">
        <f aca="false">B6/GDP!$E$22*100</f>
        <v>10.8364960545018</v>
      </c>
      <c r="D6" s="8" t="n">
        <f aca="false">B6/SUMIFS(GDP!$D$5:$D$21,GDP!$B$5:$B$21,$A6)*100-100</f>
        <v>6.52134931461194</v>
      </c>
      <c r="E6" s="8" t="n">
        <f aca="false">((B6/SUMIFS(GDP!$C$5:$C$21,GDP!$B$5:$B$21,$A6))^(1/4)-1)*100</f>
        <v>9.02828083431253</v>
      </c>
      <c r="F6" s="8" t="n">
        <f aca="false">SUMIFS(GDP!$G$5:$G$21,GDP!$B$5:$B$21,$A6)/SUMIFS(GDP!$F$5:$F$21,GDP!$B$5:$B$21,$A6)*100-100</f>
        <v>6.27835027565192</v>
      </c>
      <c r="G6" s="7" t="n">
        <f aca="false">IF(SUMIFS(Credit_Map!$C$5:$C$15,Credit_Map!$A$5:$A$15,$A6)=0,"",SUMIFS(Credit_Map!$C$5:$C$15,Credit_Map!$A$5:$A$15,$A6))</f>
        <v>241698.4</v>
      </c>
      <c r="H6" s="8" t="n">
        <f aca="false">IF(G6="","",SUMIFS(Credit_Map!$D$5:$D$15,Credit_Map!$A$5:$A$15,$A6)/G6*100)</f>
        <v>3.25372447645495</v>
      </c>
      <c r="I6" s="8" t="n">
        <f aca="false">IF(G6="","",SUMPRODUCT((Credit_Map!$A$5:$A$15=$A6)*Credit_Map!$C$5:$C$15*(Credit_Map!$E$5:$E$15-Credit_Map!$F$5:$F$15))/G6)</f>
        <v>22</v>
      </c>
      <c r="J6" s="8" t="n">
        <f aca="false">IF(B6="","",((B6-MIN($B$6:$B$15))/(MAX($B$6:$B$15)-MIN($B$6:$B$15))*100))</f>
        <v>52.7363701822001</v>
      </c>
      <c r="K6" s="8" t="n">
        <f aca="false">IF(F6="","",((F6-MIN($F$6:$F$15))/(MAX($F$6:$F$15)-MIN($F$6:$F$15))*100))</f>
        <v>100</v>
      </c>
      <c r="L6" s="8" t="n">
        <f aca="false">IF(E6="","",((E6-MIN($E$6:$E$15))/(MAX($E$6:$E$15)-MIN($E$6:$E$15))*100))</f>
        <v>100</v>
      </c>
      <c r="M6" s="8" t="n">
        <f aca="false">IF(I6="","",((I6-MIN($I$6:$I$15))/(MAX($I$6:$I$15)-MIN($I$6:$I$15))*100))</f>
        <v>30.9980162188312</v>
      </c>
      <c r="N6" s="8" t="n">
        <f aca="false">IF(H6="","",100-((H6-MIN($H$6:$H$15))/(MAX($H$6:$H$15)-MIN($H$6:$H$15))*100))</f>
        <v>100</v>
      </c>
      <c r="O6" s="8" t="n">
        <f aca="false">(IF(ISNUMBER(J6),J6,Inputs!$B$4)*INDEX(Inputs!$B$9:$F$13,MATCH(Inputs!$B$3,Inputs!$A$9:$A$13,0),1)+IF(ISNUMBER(K6),K6,Inputs!$B$4)*INDEX(Inputs!$B$9:$F$13,MATCH(Inputs!$B$3,Inputs!$A$9:$A$13,0),2)+IF(ISNUMBER(L6),L6,Inputs!$B$4)*INDEX(Inputs!$B$9:$F$13,MATCH(Inputs!$B$3,Inputs!$A$9:$A$13,0),3)+IF(ISNUMBER(M6),M6,Inputs!$B$4)*INDEX(Inputs!$B$9:$F$13,MATCH(Inputs!$B$3,Inputs!$A$9:$A$13,0),4)+IF(ISNUMBER(N6),N6,Inputs!$B$4)*INDEX(Inputs!$B$9:$F$13,MATCH(Inputs!$B$3,Inputs!$A$9:$A$13,0),5))/INDEX(Inputs!$G$9:$G$13,MATCH(Inputs!$B$3,Inputs!$A$9:$A$13,0))</f>
        <v>76.7468772802063</v>
      </c>
      <c r="P6" s="9" t="n">
        <f aca="false">RANK(O6,$O$6:$O$15)</f>
        <v>1</v>
      </c>
      <c r="Q6" s="9" t="str">
        <f aca="false">IF(P6&lt;=Inputs!$B$5,"Lead",IF(P6&lt;=Inputs!$B$6,"Grow","Selective"))</f>
        <v>Lead</v>
      </c>
      <c r="R6" s="3" t="str">
        <f aca="false">IF(G6="","Growth only (credit neutral)","Growth + credit")</f>
        <v>Growth + credit</v>
      </c>
    </row>
    <row r="7" customFormat="false" ht="15" hidden="false" customHeight="false" outlineLevel="0" collapsed="false">
      <c r="A7" s="4" t="s">
        <v>31</v>
      </c>
      <c r="B7" s="7" t="n">
        <f aca="false">SUMIFS(GDP!$E$5:$E$21,GDP!$B$5:$B$21,$A7)</f>
        <v>385040</v>
      </c>
      <c r="C7" s="8" t="n">
        <f aca="false">B7/GDP!$E$22*100</f>
        <v>3.67740950835373</v>
      </c>
      <c r="D7" s="8" t="n">
        <f aca="false">B7/SUMIFS(GDP!$D$5:$D$21,GDP!$B$5:$B$21,$A7)*100-100</f>
        <v>7.86944950273147</v>
      </c>
      <c r="E7" s="8" t="n">
        <f aca="false">((B7/SUMIFS(GDP!$C$5:$C$21,GDP!$B$5:$B$21,$A7))^(1/4)-1)*100</f>
        <v>3.49530544477357</v>
      </c>
      <c r="F7" s="8" t="n">
        <f aca="false">SUMIFS(GDP!$G$5:$G$21,GDP!$B$5:$B$21,$A7)/SUMIFS(GDP!$F$5:$F$21,GDP!$B$5:$B$21,$A7)*100-100</f>
        <v>5.67312218779765</v>
      </c>
      <c r="G7" s="7" t="n">
        <f aca="false">IF(SUMIFS(Credit_Map!$C$5:$C$15,Credit_Map!$A$5:$A$15,$A7)=0,"",SUMIFS(Credit_Map!$C$5:$C$15,Credit_Map!$A$5:$A$15,$A7))</f>
        <v>180935.1</v>
      </c>
      <c r="H7" s="8" t="n">
        <f aca="false">IF(G7="","",SUMIFS(Credit_Map!$D$5:$D$15,Credit_Map!$A$5:$A$15,$A7)/G7*100)</f>
        <v>9.55558097903613</v>
      </c>
      <c r="I7" s="8" t="n">
        <f aca="false">IF(G7="","",SUMPRODUCT((Credit_Map!$A$5:$A$15=$A7)*Credit_Map!$C$5:$C$15*(Credit_Map!$E$5:$E$15-Credit_Map!$F$5:$F$15))/G7)</f>
        <v>25.9962301399784</v>
      </c>
      <c r="J7" s="8" t="n">
        <f aca="false">IF(B7="","",((B7-MIN($B$6:$B$15))/(MAX($B$6:$B$15)-MIN($B$6:$B$15))*100))</f>
        <v>7.64585963812625</v>
      </c>
      <c r="K7" s="8" t="n">
        <f aca="false">IF(F7="","",((F7-MIN($F$6:$F$15))/(MAX($F$6:$F$15)-MIN($F$6:$F$15))*100))</f>
        <v>77.4174869757428</v>
      </c>
      <c r="L7" s="8" t="n">
        <f aca="false">IF(E7="","",((E7-MIN($E$6:$E$15))/(MAX($E$6:$E$15)-MIN($E$6:$E$15))*100))</f>
        <v>16.2882372146455</v>
      </c>
      <c r="M7" s="8" t="n">
        <f aca="false">IF(I7="","",((I7-MIN($I$6:$I$15))/(MAX($I$6:$I$15)-MIN($I$6:$I$15))*100))</f>
        <v>39.8462452683478</v>
      </c>
      <c r="N7" s="8" t="n">
        <f aca="false">IF(H7="","",100-((H7-MIN($H$6:$H$15))/(MAX($H$6:$H$15)-MIN($H$6:$H$15))*100))</f>
        <v>69.7880305748485</v>
      </c>
      <c r="O7" s="8" t="n">
        <f aca="false">(IF(ISNUMBER(J7),J7,Inputs!$B$4)*INDEX(Inputs!$B$9:$F$13,MATCH(Inputs!$B$3,Inputs!$A$9:$A$13,0),1)+IF(ISNUMBER(K7),K7,Inputs!$B$4)*INDEX(Inputs!$B$9:$F$13,MATCH(Inputs!$B$3,Inputs!$A$9:$A$13,0),2)+IF(ISNUMBER(L7),L7,Inputs!$B$4)*INDEX(Inputs!$B$9:$F$13,MATCH(Inputs!$B$3,Inputs!$A$9:$A$13,0),3)+IF(ISNUMBER(M7),M7,Inputs!$B$4)*INDEX(Inputs!$B$9:$F$13,MATCH(Inputs!$B$3,Inputs!$A$9:$A$13,0),4)+IF(ISNUMBER(N7),N7,Inputs!$B$4)*INDEX(Inputs!$B$9:$F$13,MATCH(Inputs!$B$3,Inputs!$A$9:$A$13,0),5))/INDEX(Inputs!$G$9:$G$13,MATCH(Inputs!$B$3,Inputs!$A$9:$A$13,0))</f>
        <v>45.253634422397</v>
      </c>
      <c r="P7" s="9" t="n">
        <f aca="false">RANK(O7,$O$6:$O$15)</f>
        <v>4</v>
      </c>
      <c r="Q7" s="9" t="str">
        <f aca="false">IF(P7&lt;=Inputs!$B$5,"Lead",IF(P7&lt;=Inputs!$B$6,"Grow","Selective"))</f>
        <v>Grow</v>
      </c>
      <c r="R7" s="3" t="str">
        <f aca="false">IF(G7="","Growth only (credit neutral)","Growth + credit")</f>
        <v>Growth + credit</v>
      </c>
    </row>
    <row r="8" customFormat="false" ht="15" hidden="false" customHeight="false" outlineLevel="0" collapsed="false">
      <c r="A8" s="4" t="s">
        <v>32</v>
      </c>
      <c r="B8" s="7" t="n">
        <f aca="false">SUMIFS(GDP!$E$5:$E$21,GDP!$B$5:$B$21,$A8)</f>
        <v>391886</v>
      </c>
      <c r="C8" s="8" t="n">
        <f aca="false">B8/GDP!$E$22*100</f>
        <v>3.74279374244419</v>
      </c>
      <c r="D8" s="8" t="n">
        <f aca="false">B8/SUMIFS(GDP!$D$5:$D$21,GDP!$B$5:$B$21,$A8)*100-100</f>
        <v>4.82159096988177</v>
      </c>
      <c r="E8" s="8" t="n">
        <f aca="false">((B8/SUMIFS(GDP!$C$5:$C$21,GDP!$B$5:$B$21,$A8))^(1/4)-1)*100</f>
        <v>7.79698305994461</v>
      </c>
      <c r="F8" s="8" t="n">
        <f aca="false">SUMIFS(GDP!$G$5:$G$21,GDP!$B$5:$B$21,$A8)/SUMIFS(GDP!$F$5:$F$21,GDP!$B$5:$B$21,$A8)*100-100</f>
        <v>4.97439346127982</v>
      </c>
      <c r="G8" s="7" t="n">
        <f aca="false">IF(SUMIFS(Credit_Map!$C$5:$C$15,Credit_Map!$A$5:$A$15,$A8)=0,"",SUMIFS(Credit_Map!$C$5:$C$15,Credit_Map!$A$5:$A$15,$A8))</f>
        <v>321105.5</v>
      </c>
      <c r="H8" s="8" t="n">
        <f aca="false">IF(G8="","",SUMIFS(Credit_Map!$D$5:$D$15,Credit_Map!$A$5:$A$15,$A8)/G8*100)</f>
        <v>16.5618153535209</v>
      </c>
      <c r="I8" s="8" t="n">
        <f aca="false">IF(G8="","",SUMPRODUCT((Credit_Map!$A$5:$A$15=$A8)*Credit_Map!$C$5:$C$15*(Credit_Map!$E$5:$E$15-Credit_Map!$F$5:$F$15))/G8)</f>
        <v>8</v>
      </c>
      <c r="J8" s="8" t="n">
        <f aca="false">IF(B8="","",((B8-MIN($B$6:$B$15))/(MAX($B$6:$B$15)-MIN($B$6:$B$15))*100))</f>
        <v>8.05767313942528</v>
      </c>
      <c r="K8" s="8" t="n">
        <f aca="false">IF(F8="","",((F8-MIN($F$6:$F$15))/(MAX($F$6:$F$15)-MIN($F$6:$F$15))*100))</f>
        <v>51.3462406412355</v>
      </c>
      <c r="L8" s="8" t="n">
        <f aca="false">IF(E8="","",((E8-MIN($E$6:$E$15))/(MAX($E$6:$E$15)-MIN($E$6:$E$15))*100))</f>
        <v>81.3709442118789</v>
      </c>
      <c r="M8" s="8" t="n">
        <f aca="false">IF(I8="","",((I8-MIN($I$6:$I$15))/(MAX($I$6:$I$15)-MIN($I$6:$I$15))*100))</f>
        <v>0</v>
      </c>
      <c r="N8" s="8" t="n">
        <f aca="false">IF(H8="","",100-((H8-MIN($H$6:$H$15))/(MAX($H$6:$H$15)-MIN($H$6:$H$15))*100))</f>
        <v>36.1991764616709</v>
      </c>
      <c r="O8" s="8" t="n">
        <f aca="false">(IF(ISNUMBER(J8),J8,Inputs!$B$4)*INDEX(Inputs!$B$9:$F$13,MATCH(Inputs!$B$3,Inputs!$A$9:$A$13,0),1)+IF(ISNUMBER(K8),K8,Inputs!$B$4)*INDEX(Inputs!$B$9:$F$13,MATCH(Inputs!$B$3,Inputs!$A$9:$A$13,0),2)+IF(ISNUMBER(L8),L8,Inputs!$B$4)*INDEX(Inputs!$B$9:$F$13,MATCH(Inputs!$B$3,Inputs!$A$9:$A$13,0),3)+IF(ISNUMBER(M8),M8,Inputs!$B$4)*INDEX(Inputs!$B$9:$F$13,MATCH(Inputs!$B$3,Inputs!$A$9:$A$13,0),4)+IF(ISNUMBER(N8),N8,Inputs!$B$4)*INDEX(Inputs!$B$9:$F$13,MATCH(Inputs!$B$3,Inputs!$A$9:$A$13,0),5))/INDEX(Inputs!$G$9:$G$13,MATCH(Inputs!$B$3,Inputs!$A$9:$A$13,0))</f>
        <v>33.8935717123099</v>
      </c>
      <c r="P8" s="9" t="n">
        <f aca="false">RANK(O8,$O$6:$O$15)</f>
        <v>7</v>
      </c>
      <c r="Q8" s="9" t="str">
        <f aca="false">IF(P8&lt;=Inputs!$B$5,"Lead",IF(P8&lt;=Inputs!$B$6,"Grow","Selective"))</f>
        <v>Grow</v>
      </c>
      <c r="R8" s="3" t="str">
        <f aca="false">IF(G8="","Growth only (credit neutral)","Growth + credit")</f>
        <v>Growth + credit</v>
      </c>
    </row>
    <row r="9" customFormat="false" ht="15" hidden="false" customHeight="false" outlineLevel="0" collapsed="false">
      <c r="A9" s="4" t="s">
        <v>33</v>
      </c>
      <c r="B9" s="7" t="n">
        <f aca="false">SUMIFS(GDP!$E$5:$E$21,GDP!$B$5:$B$21,$A9)</f>
        <v>1077187</v>
      </c>
      <c r="C9" s="8" t="n">
        <f aca="false">B9/GDP!$E$22*100</f>
        <v>10.2879122067189</v>
      </c>
      <c r="D9" s="8" t="n">
        <f aca="false">B9/SUMIFS(GDP!$D$5:$D$21,GDP!$B$5:$B$21,$A9)*100-100</f>
        <v>3.69572081525152</v>
      </c>
      <c r="E9" s="8" t="n">
        <f aca="false">((B9/SUMIFS(GDP!$C$5:$C$21,GDP!$B$5:$B$21,$A9))^(1/4)-1)*100</f>
        <v>4.82952827998644</v>
      </c>
      <c r="F9" s="8" t="n">
        <f aca="false">SUMIFS(GDP!$G$5:$G$21,GDP!$B$5:$B$21,$A9)/SUMIFS(GDP!$F$5:$F$21,GDP!$B$5:$B$21,$A9)*100-100</f>
        <v>3.5982761527934</v>
      </c>
      <c r="G9" s="7" t="n">
        <f aca="false">IF(SUMIFS(Credit_Map!$C$5:$C$15,Credit_Map!$A$5:$A$15,$A9)=0,"",SUMIFS(Credit_Map!$C$5:$C$15,Credit_Map!$A$5:$A$15,$A9))</f>
        <v>321105.5</v>
      </c>
      <c r="H9" s="8" t="n">
        <f aca="false">IF(G9="","",SUMIFS(Credit_Map!$D$5:$D$15,Credit_Map!$A$5:$A$15,$A9)/G9*100)</f>
        <v>16.5618153535209</v>
      </c>
      <c r="I9" s="8" t="n">
        <f aca="false">IF(G9="","",SUMPRODUCT((Credit_Map!$A$5:$A$15=$A9)*Credit_Map!$C$5:$C$15*(Credit_Map!$E$5:$E$15-Credit_Map!$F$5:$F$15))/G9)</f>
        <v>8</v>
      </c>
      <c r="J9" s="8" t="n">
        <f aca="false">IF(B9="","",((B9-MIN($B$6:$B$15))/(MAX($B$6:$B$15)-MIN($B$6:$B$15))*100))</f>
        <v>49.2811911431825</v>
      </c>
      <c r="K9" s="8" t="n">
        <f aca="false">IF(F9="","",((F9-MIN($F$6:$F$15))/(MAX($F$6:$F$15)-MIN($F$6:$F$15))*100))</f>
        <v>0</v>
      </c>
      <c r="L9" s="8" t="n">
        <f aca="false">IF(E9="","",((E9-MIN($E$6:$E$15))/(MAX($E$6:$E$15)-MIN($E$6:$E$15))*100))</f>
        <v>36.4745090884211</v>
      </c>
      <c r="M9" s="8" t="n">
        <f aca="false">IF(I9="","",((I9-MIN($I$6:$I$15))/(MAX($I$6:$I$15)-MIN($I$6:$I$15))*100))</f>
        <v>0</v>
      </c>
      <c r="N9" s="8" t="n">
        <f aca="false">IF(H9="","",100-((H9-MIN($H$6:$H$15))/(MAX($H$6:$H$15)-MIN($H$6:$H$15))*100))</f>
        <v>36.1991764616709</v>
      </c>
      <c r="O9" s="8" t="n">
        <f aca="false">(IF(ISNUMBER(J9),J9,Inputs!$B$4)*INDEX(Inputs!$B$9:$F$13,MATCH(Inputs!$B$3,Inputs!$A$9:$A$13,0),1)+IF(ISNUMBER(K9),K9,Inputs!$B$4)*INDEX(Inputs!$B$9:$F$13,MATCH(Inputs!$B$3,Inputs!$A$9:$A$13,0),2)+IF(ISNUMBER(L9),L9,Inputs!$B$4)*INDEX(Inputs!$B$9:$F$13,MATCH(Inputs!$B$3,Inputs!$A$9:$A$13,0),3)+IF(ISNUMBER(M9),M9,Inputs!$B$4)*INDEX(Inputs!$B$9:$F$13,MATCH(Inputs!$B$3,Inputs!$A$9:$A$13,0),4)+IF(ISNUMBER(N9),N9,Inputs!$B$4)*INDEX(Inputs!$B$9:$F$13,MATCH(Inputs!$B$3,Inputs!$A$9:$A$13,0),5))/INDEX(Inputs!$G$9:$G$13,MATCH(Inputs!$B$3,Inputs!$A$9:$A$13,0))</f>
        <v>22.5672498842338</v>
      </c>
      <c r="P9" s="9" t="n">
        <f aca="false">RANK(O9,$O$6:$O$15)</f>
        <v>10</v>
      </c>
      <c r="Q9" s="9" t="str">
        <f aca="false">IF(P9&lt;=Inputs!$B$5,"Lead",IF(P9&lt;=Inputs!$B$6,"Grow","Selective"))</f>
        <v>Selective</v>
      </c>
      <c r="R9" s="3" t="str">
        <f aca="false">IF(G9="","Growth only (credit neutral)","Growth + credit")</f>
        <v>Growth + credit</v>
      </c>
    </row>
    <row r="10" customFormat="false" ht="15" hidden="false" customHeight="false" outlineLevel="0" collapsed="false">
      <c r="A10" s="4" t="s">
        <v>34</v>
      </c>
      <c r="B10" s="7" t="n">
        <f aca="false">SUMIFS(GDP!$E$5:$E$21,GDP!$B$5:$B$21,$A10)</f>
        <v>1273606</v>
      </c>
      <c r="C10" s="8" t="n">
        <f aca="false">B10/GDP!$E$22*100</f>
        <v>12.1638552210065</v>
      </c>
      <c r="D10" s="8" t="n">
        <f aca="false">B10/SUMIFS(GDP!$D$5:$D$21,GDP!$B$5:$B$21,$A10)*100-100</f>
        <v>5.929565820576</v>
      </c>
      <c r="E10" s="8" t="n">
        <f aca="false">((B10/SUMIFS(GDP!$C$5:$C$21,GDP!$B$5:$B$21,$A10))^(1/4)-1)*100</f>
        <v>5.52289867315867</v>
      </c>
      <c r="F10" s="8" t="n">
        <f aca="false">SUMIFS(GDP!$G$5:$G$21,GDP!$B$5:$B$21,$A10)/SUMIFS(GDP!$F$5:$F$21,GDP!$B$5:$B$21,$A10)*100-100</f>
        <v>5.9081244765157</v>
      </c>
      <c r="G10" s="7" t="str">
        <f aca="false">IF(SUMIFS(Credit_Map!$C$5:$C$15,Credit_Map!$A$5:$A$15,$A10)=0,"",SUMIFS(Credit_Map!$C$5:$C$15,Credit_Map!$A$5:$A$15,$A10))</f>
        <v/>
      </c>
      <c r="H10" s="8" t="str">
        <f aca="false">IF(G10="","",SUMIFS(Credit_Map!$D$5:$D$15,Credit_Map!$A$5:$A$15,$A10)/G10*100)</f>
        <v/>
      </c>
      <c r="I10" s="8" t="str">
        <f aca="false">IF(G10="","",SUMPRODUCT((Credit_Map!$A$5:$A$15=$A10)*Credit_Map!$C$5:$C$15*(Credit_Map!$E$5:$E$15-Credit_Map!$F$5:$F$15))/G10)</f>
        <v/>
      </c>
      <c r="J10" s="8" t="n">
        <f aca="false">IF(B10="","",((B10-MIN($B$6:$B$15))/(MAX($B$6:$B$15)-MIN($B$6:$B$15))*100))</f>
        <v>61.0965572126614</v>
      </c>
      <c r="K10" s="8" t="n">
        <f aca="false">IF(F10="","",((F10-MIN($F$6:$F$15))/(MAX($F$6:$F$15)-MIN($F$6:$F$15))*100))</f>
        <v>86.1859865748285</v>
      </c>
      <c r="L10" s="8" t="n">
        <f aca="false">IF(E10="","",((E10-MIN($E$6:$E$15))/(MAX($E$6:$E$15)-MIN($E$6:$E$15))*100))</f>
        <v>46.9649330988663</v>
      </c>
      <c r="M10" s="8" t="str">
        <f aca="false">IF(I10="","",((I10-MIN($I$6:$I$15))/(MAX($I$6:$I$15)-MIN($I$6:$I$15))*100))</f>
        <v/>
      </c>
      <c r="N10" s="8" t="str">
        <f aca="false">IF(H10="","",100-((H10-MIN($H$6:$H$15))/(MAX($H$6:$H$15)-MIN($H$6:$H$15))*100))</f>
        <v/>
      </c>
      <c r="O10" s="8" t="n">
        <f aca="false">(IF(ISNUMBER(J10),J10,Inputs!$B$4)*INDEX(Inputs!$B$9:$F$13,MATCH(Inputs!$B$3,Inputs!$A$9:$A$13,0),1)+IF(ISNUMBER(K10),K10,Inputs!$B$4)*INDEX(Inputs!$B$9:$F$13,MATCH(Inputs!$B$3,Inputs!$A$9:$A$13,0),2)+IF(ISNUMBER(L10),L10,Inputs!$B$4)*INDEX(Inputs!$B$9:$F$13,MATCH(Inputs!$B$3,Inputs!$A$9:$A$13,0),3)+IF(ISNUMBER(M10),M10,Inputs!$B$4)*INDEX(Inputs!$B$9:$F$13,MATCH(Inputs!$B$3,Inputs!$A$9:$A$13,0),4)+IF(ISNUMBER(N10),N10,Inputs!$B$4)*INDEX(Inputs!$B$9:$F$13,MATCH(Inputs!$B$3,Inputs!$A$9:$A$13,0),5))/INDEX(Inputs!$G$9:$G$13,MATCH(Inputs!$B$3,Inputs!$A$9:$A$13,0))</f>
        <v>60.8105480510694</v>
      </c>
      <c r="P10" s="9" t="n">
        <f aca="false">RANK(O10,$O$6:$O$15)</f>
        <v>3</v>
      </c>
      <c r="Q10" s="9" t="str">
        <f aca="false">IF(P10&lt;=Inputs!$B$5,"Lead",IF(P10&lt;=Inputs!$B$6,"Grow","Selective"))</f>
        <v>Lead</v>
      </c>
      <c r="R10" s="3" t="str">
        <f aca="false">IF(G10="","Growth only (credit neutral)","Growth + credit")</f>
        <v>Growth only (credit neutral)</v>
      </c>
    </row>
    <row r="11" customFormat="false" ht="15" hidden="false" customHeight="false" outlineLevel="0" collapsed="false">
      <c r="A11" s="4" t="s">
        <v>35</v>
      </c>
      <c r="B11" s="7" t="n">
        <f aca="false">SUMIFS(GDP!$E$5:$E$21,GDP!$B$5:$B$21,$A11)</f>
        <v>257935</v>
      </c>
      <c r="C11" s="8" t="n">
        <f aca="false">B11/GDP!$E$22*100</f>
        <v>2.46346515047065</v>
      </c>
      <c r="D11" s="8" t="n">
        <f aca="false">B11/SUMIFS(GDP!$D$5:$D$21,GDP!$B$5:$B$21,$A11)*100-100</f>
        <v>5.52509921040789</v>
      </c>
      <c r="E11" s="8" t="n">
        <f aca="false">((B11/SUMIFS(GDP!$C$5:$C$21,GDP!$B$5:$B$21,$A11))^(1/4)-1)*100</f>
        <v>4.83670258488185</v>
      </c>
      <c r="F11" s="8" t="n">
        <f aca="false">SUMIFS(GDP!$G$5:$G$21,GDP!$B$5:$B$21,$A11)/SUMIFS(GDP!$F$5:$F$21,GDP!$B$5:$B$21,$A11)*100-100</f>
        <v>4.31112554038585</v>
      </c>
      <c r="G11" s="7" t="str">
        <f aca="false">IF(SUMIFS(Credit_Map!$C$5:$C$15,Credit_Map!$A$5:$A$15,$A11)=0,"",SUMIFS(Credit_Map!$C$5:$C$15,Credit_Map!$A$5:$A$15,$A11))</f>
        <v/>
      </c>
      <c r="H11" s="8" t="str">
        <f aca="false">IF(G11="","",SUMIFS(Credit_Map!$D$5:$D$15,Credit_Map!$A$5:$A$15,$A11)/G11*100)</f>
        <v/>
      </c>
      <c r="I11" s="8" t="str">
        <f aca="false">IF(G11="","",SUMPRODUCT((Credit_Map!$A$5:$A$15=$A11)*Credit_Map!$C$5:$C$15*(Credit_Map!$E$5:$E$15-Credit_Map!$F$5:$F$15))/G11)</f>
        <v/>
      </c>
      <c r="J11" s="8" t="n">
        <f aca="false">IF(B11="","",((B11-MIN($B$6:$B$15))/(MAX($B$6:$B$15)-MIN($B$6:$B$15))*100))</f>
        <v>0</v>
      </c>
      <c r="K11" s="8" t="n">
        <f aca="false">IF(F11="","",((F11-MIN($F$6:$F$15))/(MAX($F$6:$F$15)-MIN($F$6:$F$15))*100))</f>
        <v>26.5981221008966</v>
      </c>
      <c r="L11" s="8" t="n">
        <f aca="false">IF(E11="","",((E11-MIN($E$6:$E$15))/(MAX($E$6:$E$15)-MIN($E$6:$E$15))*100))</f>
        <v>36.5830535274023</v>
      </c>
      <c r="M11" s="8" t="str">
        <f aca="false">IF(I11="","",((I11-MIN($I$6:$I$15))/(MAX($I$6:$I$15)-MIN($I$6:$I$15))*100))</f>
        <v/>
      </c>
      <c r="N11" s="8" t="str">
        <f aca="false">IF(H11="","",100-((H11-MIN($H$6:$H$15))/(MAX($H$6:$H$15)-MIN($H$6:$H$15))*100))</f>
        <v/>
      </c>
      <c r="O11" s="8" t="n">
        <f aca="false">(IF(ISNUMBER(J11),J11,Inputs!$B$4)*INDEX(Inputs!$B$9:$F$13,MATCH(Inputs!$B$3,Inputs!$A$9:$A$13,0),1)+IF(ISNUMBER(K11),K11,Inputs!$B$4)*INDEX(Inputs!$B$9:$F$13,MATCH(Inputs!$B$3,Inputs!$A$9:$A$13,0),2)+IF(ISNUMBER(L11),L11,Inputs!$B$4)*INDEX(Inputs!$B$9:$F$13,MATCH(Inputs!$B$3,Inputs!$A$9:$A$13,0),3)+IF(ISNUMBER(M11),M11,Inputs!$B$4)*INDEX(Inputs!$B$9:$F$13,MATCH(Inputs!$B$3,Inputs!$A$9:$A$13,0),4)+IF(ISNUMBER(N11),N11,Inputs!$B$4)*INDEX(Inputs!$B$9:$F$13,MATCH(Inputs!$B$3,Inputs!$A$9:$A$13,0),5))/INDEX(Inputs!$G$9:$G$13,MATCH(Inputs!$B$3,Inputs!$A$9:$A$13,0))</f>
        <v>32.1369885543345</v>
      </c>
      <c r="P11" s="9" t="n">
        <f aca="false">RANK(O11,$O$6:$O$15)</f>
        <v>8</v>
      </c>
      <c r="Q11" s="9" t="str">
        <f aca="false">IF(P11&lt;=Inputs!$B$5,"Lead",IF(P11&lt;=Inputs!$B$6,"Grow","Selective"))</f>
        <v>Selective</v>
      </c>
      <c r="R11" s="3" t="str">
        <f aca="false">IF(G11="","Growth only (credit neutral)","Growth + credit")</f>
        <v>Growth only (credit neutral)</v>
      </c>
    </row>
    <row r="12" customFormat="false" ht="15" hidden="false" customHeight="false" outlineLevel="0" collapsed="false">
      <c r="A12" s="4" t="s">
        <v>36</v>
      </c>
      <c r="B12" s="7" t="n">
        <f aca="false">SUMIFS(GDP!$E$5:$E$21,GDP!$B$5:$B$21,$A12)</f>
        <v>1105605</v>
      </c>
      <c r="C12" s="8" t="n">
        <f aca="false">B12/GDP!$E$22*100</f>
        <v>10.5593245883114</v>
      </c>
      <c r="D12" s="8" t="n">
        <f aca="false">B12/SUMIFS(GDP!$D$5:$D$21,GDP!$B$5:$B$21,$A12)*100-100</f>
        <v>5.53674009786161</v>
      </c>
      <c r="E12" s="8" t="n">
        <f aca="false">((B12/SUMIFS(GDP!$C$5:$C$21,GDP!$B$5:$B$21,$A12))^(1/4)-1)*100</f>
        <v>6.25889578626508</v>
      </c>
      <c r="F12" s="8" t="n">
        <f aca="false">SUMIFS(GDP!$G$5:$G$21,GDP!$B$5:$B$21,$A12)/SUMIFS(GDP!$F$5:$F$21,GDP!$B$5:$B$21,$A12)*100-100</f>
        <v>5.80415880596183</v>
      </c>
      <c r="G12" s="7" t="n">
        <f aca="false">IF(SUMIFS(Credit_Map!$C$5:$C$15,Credit_Map!$A$5:$A$15,$A12)=0,"",SUMIFS(Credit_Map!$C$5:$C$15,Credit_Map!$A$5:$A$15,$A12))</f>
        <v>956946.1</v>
      </c>
      <c r="H12" s="8" t="n">
        <f aca="false">IF(G12="","",SUMIFS(Credit_Map!$D$5:$D$15,Credit_Map!$A$5:$A$15,$A12)/G12*100)</f>
        <v>20.1914611491703</v>
      </c>
      <c r="I12" s="8" t="n">
        <f aca="false">IF(G12="","",SUMPRODUCT((Credit_Map!$A$5:$A$15=$A12)*Credit_Map!$C$5:$C$15*(Credit_Map!$E$5:$E$15-Credit_Map!$F$5:$F$15))/G12)</f>
        <v>53.1641805113162</v>
      </c>
      <c r="J12" s="8" t="n">
        <f aca="false">IF(B12="","",((B12-MIN($B$6:$B$15))/(MAX($B$6:$B$15)-MIN($B$6:$B$15))*100))</f>
        <v>50.9906442661617</v>
      </c>
      <c r="K12" s="8" t="n">
        <f aca="false">IF(F12="","",((F12-MIN($F$6:$F$15))/(MAX($F$6:$F$15)-MIN($F$6:$F$15))*100))</f>
        <v>82.3067777997005</v>
      </c>
      <c r="L12" s="8" t="n">
        <f aca="false">IF(E12="","",((E12-MIN($E$6:$E$15))/(MAX($E$6:$E$15)-MIN($E$6:$E$15))*100))</f>
        <v>58.1002827806229</v>
      </c>
      <c r="M12" s="8" t="n">
        <f aca="false">IF(I12="","",((I12-MIN($I$6:$I$15))/(MAX($I$6:$I$15)-MIN($I$6:$I$15))*100))</f>
        <v>100</v>
      </c>
      <c r="N12" s="8" t="n">
        <f aca="false">IF(H12="","",100-((H12-MIN($H$6:$H$15))/(MAX($H$6:$H$15)-MIN($H$6:$H$15))*100))</f>
        <v>18.7981538015431</v>
      </c>
      <c r="O12" s="8" t="n">
        <f aca="false">(IF(ISNUMBER(J12),J12,Inputs!$B$4)*INDEX(Inputs!$B$9:$F$13,MATCH(Inputs!$B$3,Inputs!$A$9:$A$13,0),1)+IF(ISNUMBER(K12),K12,Inputs!$B$4)*INDEX(Inputs!$B$9:$F$13,MATCH(Inputs!$B$3,Inputs!$A$9:$A$13,0),2)+IF(ISNUMBER(L12),L12,Inputs!$B$4)*INDEX(Inputs!$B$9:$F$13,MATCH(Inputs!$B$3,Inputs!$A$9:$A$13,0),3)+IF(ISNUMBER(M12),M12,Inputs!$B$4)*INDEX(Inputs!$B$9:$F$13,MATCH(Inputs!$B$3,Inputs!$A$9:$A$13,0),4)+IF(ISNUMBER(N12),N12,Inputs!$B$4)*INDEX(Inputs!$B$9:$F$13,MATCH(Inputs!$B$3,Inputs!$A$9:$A$13,0),5))/INDEX(Inputs!$G$9:$G$13,MATCH(Inputs!$B$3,Inputs!$A$9:$A$13,0))</f>
        <v>63.2494964805595</v>
      </c>
      <c r="P12" s="9" t="n">
        <f aca="false">RANK(O12,$O$6:$O$15)</f>
        <v>2</v>
      </c>
      <c r="Q12" s="9" t="str">
        <f aca="false">IF(P12&lt;=Inputs!$B$5,"Lead",IF(P12&lt;=Inputs!$B$6,"Grow","Selective"))</f>
        <v>Lead</v>
      </c>
      <c r="R12" s="3" t="str">
        <f aca="false">IF(G12="","Growth only (credit neutral)","Growth + credit")</f>
        <v>Growth + credit</v>
      </c>
    </row>
    <row r="13" customFormat="false" ht="15" hidden="false" customHeight="false" outlineLevel="0" collapsed="false">
      <c r="A13" s="4" t="s">
        <v>37</v>
      </c>
      <c r="B13" s="7" t="n">
        <f aca="false">SUMIFS(GDP!$E$5:$E$21,GDP!$B$5:$B$21,$A13)</f>
        <v>1920338</v>
      </c>
      <c r="C13" s="8" t="n">
        <f aca="false">B13/GDP!$E$22*100</f>
        <v>18.3406119375987</v>
      </c>
      <c r="D13" s="8" t="n">
        <f aca="false">B13/SUMIFS(GDP!$D$5:$D$21,GDP!$B$5:$B$21,$A13)*100-100</f>
        <v>3.10428881300604</v>
      </c>
      <c r="E13" s="8" t="n">
        <f aca="false">((B13/SUMIFS(GDP!$C$5:$C$21,GDP!$B$5:$B$21,$A13))^(1/4)-1)*100</f>
        <v>3.09433632998655</v>
      </c>
      <c r="F13" s="8" t="n">
        <f aca="false">SUMIFS(GDP!$G$5:$G$21,GDP!$B$5:$B$21,$A13)/SUMIFS(GDP!$F$5:$F$21,GDP!$B$5:$B$21,$A13)*100-100</f>
        <v>4.93387448066667</v>
      </c>
      <c r="G13" s="7" t="n">
        <f aca="false">IF(SUMIFS(Credit_Map!$C$5:$C$15,Credit_Map!$A$5:$A$15,$A13)=0,"",SUMIFS(Credit_Map!$C$5:$C$15,Credit_Map!$A$5:$A$15,$A13))</f>
        <v>197895.5</v>
      </c>
      <c r="H13" s="8" t="n">
        <f aca="false">IF(G13="","",SUMIFS(Credit_Map!$D$5:$D$15,Credit_Map!$A$5:$A$15,$A13)/G13*100)</f>
        <v>19.270069304254</v>
      </c>
      <c r="I13" s="8" t="n">
        <f aca="false">IF(G13="","",SUMPRODUCT((Credit_Map!$A$5:$A$15=$A13)*Credit_Map!$C$5:$C$15*(Credit_Map!$E$5:$E$15-Credit_Map!$F$5:$F$15))/G13)</f>
        <v>19</v>
      </c>
      <c r="J13" s="8" t="n">
        <f aca="false">IF(B13="","",((B13-MIN($B$6:$B$15))/(MAX($B$6:$B$15)-MIN($B$6:$B$15))*100))</f>
        <v>100</v>
      </c>
      <c r="K13" s="8" t="n">
        <f aca="false">IF(F13="","",((F13-MIN($F$6:$F$15))/(MAX($F$6:$F$15)-MIN($F$6:$F$15))*100))</f>
        <v>49.8343801942593</v>
      </c>
      <c r="L13" s="8" t="n">
        <f aca="false">IF(E13="","",((E13-MIN($E$6:$E$15))/(MAX($E$6:$E$15)-MIN($E$6:$E$15))*100))</f>
        <v>10.2217306683184</v>
      </c>
      <c r="M13" s="8" t="n">
        <f aca="false">IF(I13="","",((I13-MIN($I$6:$I$15))/(MAX($I$6:$I$15)-MIN($I$6:$I$15))*100))</f>
        <v>24.3555841719388</v>
      </c>
      <c r="N13" s="8" t="n">
        <f aca="false">IF(H13="","",100-((H13-MIN($H$6:$H$15))/(MAX($H$6:$H$15)-MIN($H$6:$H$15))*100))</f>
        <v>23.215433413637</v>
      </c>
      <c r="O13" s="8" t="n">
        <f aca="false">(IF(ISNUMBER(J13),J13,Inputs!$B$4)*INDEX(Inputs!$B$9:$F$13,MATCH(Inputs!$B$3,Inputs!$A$9:$A$13,0),1)+IF(ISNUMBER(K13),K13,Inputs!$B$4)*INDEX(Inputs!$B$9:$F$13,MATCH(Inputs!$B$3,Inputs!$A$9:$A$13,0),2)+IF(ISNUMBER(L13),L13,Inputs!$B$4)*INDEX(Inputs!$B$9:$F$13,MATCH(Inputs!$B$3,Inputs!$A$9:$A$13,0),3)+IF(ISNUMBER(M13),M13,Inputs!$B$4)*INDEX(Inputs!$B$9:$F$13,MATCH(Inputs!$B$3,Inputs!$A$9:$A$13,0),4)+IF(ISNUMBER(N13),N13,Inputs!$B$4)*INDEX(Inputs!$B$9:$F$13,MATCH(Inputs!$B$3,Inputs!$A$9:$A$13,0),5))/INDEX(Inputs!$G$9:$G$13,MATCH(Inputs!$B$3,Inputs!$A$9:$A$13,0))</f>
        <v>43.5060581659278</v>
      </c>
      <c r="P13" s="9" t="n">
        <f aca="false">RANK(O13,$O$6:$O$15)</f>
        <v>5</v>
      </c>
      <c r="Q13" s="9" t="str">
        <f aca="false">IF(P13&lt;=Inputs!$B$5,"Lead",IF(P13&lt;=Inputs!$B$6,"Grow","Selective"))</f>
        <v>Grow</v>
      </c>
      <c r="R13" s="3" t="str">
        <f aca="false">IF(G13="","Growth only (credit neutral)","Growth + credit")</f>
        <v>Growth + credit</v>
      </c>
    </row>
    <row r="14" customFormat="false" ht="15" hidden="false" customHeight="false" outlineLevel="0" collapsed="false">
      <c r="A14" s="4" t="s">
        <v>38</v>
      </c>
      <c r="B14" s="7" t="n">
        <f aca="false">SUMIFS(GDP!$E$5:$E$21,GDP!$B$5:$B$21,$A14)</f>
        <v>1794502</v>
      </c>
      <c r="C14" s="8" t="n">
        <f aca="false">B14/GDP!$E$22*100</f>
        <v>17.1387874443169</v>
      </c>
      <c r="D14" s="8" t="n">
        <f aca="false">B14/SUMIFS(GDP!$D$5:$D$21,GDP!$B$5:$B$21,$A14)*100-100</f>
        <v>4.8998615171385</v>
      </c>
      <c r="E14" s="8" t="n">
        <f aca="false">((B14/SUMIFS(GDP!$C$5:$C$21,GDP!$B$5:$B$21,$A14))^(1/4)-1)*100</f>
        <v>4.51637808531606</v>
      </c>
      <c r="F14" s="8" t="n">
        <f aca="false">SUMIFS(GDP!$G$5:$G$21,GDP!$B$5:$B$21,$A14)/SUMIFS(GDP!$F$5:$F$21,GDP!$B$5:$B$21,$A14)*100-100</f>
        <v>5.50216072514711</v>
      </c>
      <c r="G14" s="7" t="n">
        <f aca="false">IF(SUMIFS(Credit_Map!$C$5:$C$15,Credit_Map!$A$5:$A$15,$A14)=0,"",SUMIFS(Credit_Map!$C$5:$C$15,Credit_Map!$A$5:$A$15,$A14))</f>
        <v>686635.9</v>
      </c>
      <c r="H14" s="8" t="n">
        <f aca="false">IF(G14="","",SUMIFS(Credit_Map!$D$5:$D$15,Credit_Map!$A$5:$A$15,$A14)/G14*100)</f>
        <v>24.1125318381984</v>
      </c>
      <c r="I14" s="8" t="n">
        <f aca="false">IF(G14="","",SUMPRODUCT((Credit_Map!$A$5:$A$15=$A14)*Credit_Map!$C$5:$C$15*(Credit_Map!$E$5:$E$15-Credit_Map!$F$5:$F$15))/G14)</f>
        <v>9.20241076821064</v>
      </c>
      <c r="J14" s="8" t="n">
        <f aca="false">IF(B14="","",((B14-MIN($B$6:$B$15))/(MAX($B$6:$B$15)-MIN($B$6:$B$15))*100))</f>
        <v>92.4304756427894</v>
      </c>
      <c r="K14" s="8" t="n">
        <f aca="false">IF(F14="","",((F14-MIN($F$6:$F$15))/(MAX($F$6:$F$15)-MIN($F$6:$F$15))*100))</f>
        <v>71.0385043501356</v>
      </c>
      <c r="L14" s="8" t="n">
        <f aca="false">IF(E14="","",((E14-MIN($E$6:$E$15))/(MAX($E$6:$E$15)-MIN($E$6:$E$15))*100))</f>
        <v>31.7366686017281</v>
      </c>
      <c r="M14" s="8" t="n">
        <f aca="false">IF(I14="","",((I14-MIN($I$6:$I$15))/(MAX($I$6:$I$15)-MIN($I$6:$I$15))*100))</f>
        <v>2.66231060676361</v>
      </c>
      <c r="N14" s="8" t="n">
        <f aca="false">IF(H14="","",100-((H14-MIN($H$6:$H$15))/(MAX($H$6:$H$15)-MIN($H$6:$H$15))*100))</f>
        <v>0</v>
      </c>
      <c r="O14" s="8" t="n">
        <f aca="false">(IF(ISNUMBER(J14),J14,Inputs!$B$4)*INDEX(Inputs!$B$9:$F$13,MATCH(Inputs!$B$3,Inputs!$A$9:$A$13,0),1)+IF(ISNUMBER(K14),K14,Inputs!$B$4)*INDEX(Inputs!$B$9:$F$13,MATCH(Inputs!$B$3,Inputs!$A$9:$A$13,0),2)+IF(ISNUMBER(L14),L14,Inputs!$B$4)*INDEX(Inputs!$B$9:$F$13,MATCH(Inputs!$B$3,Inputs!$A$9:$A$13,0),3)+IF(ISNUMBER(M14),M14,Inputs!$B$4)*INDEX(Inputs!$B$9:$F$13,MATCH(Inputs!$B$3,Inputs!$A$9:$A$13,0),4)+IF(ISNUMBER(N14),N14,Inputs!$B$4)*INDEX(Inputs!$B$9:$F$13,MATCH(Inputs!$B$3,Inputs!$A$9:$A$13,0),5))/INDEX(Inputs!$G$9:$G$13,MATCH(Inputs!$B$3,Inputs!$A$9:$A$13,0))</f>
        <v>41.5386836277037</v>
      </c>
      <c r="P14" s="9" t="n">
        <f aca="false">RANK(O14,$O$6:$O$15)</f>
        <v>6</v>
      </c>
      <c r="Q14" s="9" t="str">
        <f aca="false">IF(P14&lt;=Inputs!$B$5,"Lead",IF(P14&lt;=Inputs!$B$6,"Grow","Selective"))</f>
        <v>Grow</v>
      </c>
      <c r="R14" s="3" t="str">
        <f aca="false">IF(G14="","Growth only (credit neutral)","Growth + credit")</f>
        <v>Growth + credit</v>
      </c>
    </row>
    <row r="15" customFormat="false" ht="15" hidden="false" customHeight="false" outlineLevel="0" collapsed="false">
      <c r="A15" s="4" t="s">
        <v>39</v>
      </c>
      <c r="B15" s="7" t="n">
        <f aca="false">SUMIFS(GDP!$E$5:$E$21,GDP!$B$5:$B$21,$A15)</f>
        <v>892166</v>
      </c>
      <c r="C15" s="8" t="n">
        <f aca="false">B15/GDP!$E$22*100</f>
        <v>8.52082830726655</v>
      </c>
      <c r="D15" s="8" t="n">
        <f aca="false">B15/SUMIFS(GDP!$D$5:$D$21,GDP!$B$5:$B$21,$A15)*100-100</f>
        <v>1.97628006711807</v>
      </c>
      <c r="E15" s="8" t="n">
        <f aca="false">((B15/SUMIFS(GDP!$C$5:$C$21,GDP!$B$5:$B$21,$A15))^(1/4)-1)*100</f>
        <v>2.41872537228496</v>
      </c>
      <c r="F15" s="8" t="n">
        <f aca="false">SUMIFS(GDP!$G$5:$G$21,GDP!$B$5:$B$21,$A15)/SUMIFS(GDP!$F$5:$F$21,GDP!$B$5:$B$21,$A15)*100-100</f>
        <v>4.41583459952246</v>
      </c>
      <c r="G15" s="7" t="n">
        <f aca="false">IF(SUMIFS(Credit_Map!$C$5:$C$15,Credit_Map!$A$5:$A$15,$A15)=0,"",SUMIFS(Credit_Map!$C$5:$C$15,Credit_Map!$A$5:$A$15,$A15))</f>
        <v>584989.3</v>
      </c>
      <c r="H15" s="8" t="n">
        <f aca="false">IF(G15="","",SUMIFS(Credit_Map!$D$5:$D$15,Credit_Map!$A$5:$A$15,$A15)/G15*100)</f>
        <v>18.3985587428693</v>
      </c>
      <c r="I15" s="8" t="n">
        <f aca="false">IF(G15="","",SUMPRODUCT((Credit_Map!$A$5:$A$15=$A15)*Credit_Map!$C$5:$C$15*(Credit_Map!$E$5:$E$15-Credit_Map!$F$5:$F$15))/G15)</f>
        <v>30</v>
      </c>
      <c r="J15" s="8" t="n">
        <f aca="false">IF(B15="","",((B15-MIN($B$6:$B$15))/(MAX($B$6:$B$15)-MIN($B$6:$B$15))*100))</f>
        <v>38.1514590625739</v>
      </c>
      <c r="K15" s="8" t="n">
        <f aca="false">IF(F15="","",((F15-MIN($F$6:$F$15))/(MAX($F$6:$F$15)-MIN($F$6:$F$15))*100))</f>
        <v>30.505068488817</v>
      </c>
      <c r="L15" s="8" t="n">
        <f aca="false">IF(E15="","",((E15-MIN($E$6:$E$15))/(MAX($E$6:$E$15)-MIN($E$6:$E$15))*100))</f>
        <v>0</v>
      </c>
      <c r="M15" s="8" t="n">
        <f aca="false">IF(I15="","",((I15-MIN($I$6:$I$15))/(MAX($I$6:$I$15)-MIN($I$6:$I$15))*100))</f>
        <v>48.7111683438777</v>
      </c>
      <c r="N15" s="8" t="n">
        <f aca="false">IF(H15="","",100-((H15-MIN($H$6:$H$15))/(MAX($H$6:$H$15)-MIN($H$6:$H$15))*100))</f>
        <v>27.3935752712732</v>
      </c>
      <c r="O15" s="8" t="n">
        <f aca="false">(IF(ISNUMBER(J15),J15,Inputs!$B$4)*INDEX(Inputs!$B$9:$F$13,MATCH(Inputs!$B$3,Inputs!$A$9:$A$13,0),1)+IF(ISNUMBER(K15),K15,Inputs!$B$4)*INDEX(Inputs!$B$9:$F$13,MATCH(Inputs!$B$3,Inputs!$A$9:$A$13,0),2)+IF(ISNUMBER(L15),L15,Inputs!$B$4)*INDEX(Inputs!$B$9:$F$13,MATCH(Inputs!$B$3,Inputs!$A$9:$A$13,0),3)+IF(ISNUMBER(M15),M15,Inputs!$B$4)*INDEX(Inputs!$B$9:$F$13,MATCH(Inputs!$B$3,Inputs!$A$9:$A$13,0),4)+IF(ISNUMBER(N15),N15,Inputs!$B$4)*INDEX(Inputs!$B$9:$F$13,MATCH(Inputs!$B$3,Inputs!$A$9:$A$13,0),5))/INDEX(Inputs!$G$9:$G$13,MATCH(Inputs!$B$3,Inputs!$A$9:$A$13,0))</f>
        <v>30.4775076577492</v>
      </c>
      <c r="P15" s="9" t="n">
        <f aca="false">RANK(O15,$O$6:$O$15)</f>
        <v>9</v>
      </c>
      <c r="Q15" s="9" t="str">
        <f aca="false">IF(P15&lt;=Inputs!$B$5,"Lead",IF(P15&lt;=Inputs!$B$6,"Grow","Selective"))</f>
        <v>Selective</v>
      </c>
      <c r="R15" s="3" t="str">
        <f aca="false">IF(G15="","Growth only (credit neutral)","Growth + credit")</f>
        <v>Growth + credit</v>
      </c>
    </row>
    <row r="37" customFormat="false" ht="15" hidden="false" customHeight="false" outlineLevel="0" collapsed="false">
      <c r="A37" s="10" t="s">
        <v>40</v>
      </c>
    </row>
  </sheetData>
  <conditionalFormatting sqref="O6:O15">
    <cfRule type="colorScale" priority="2">
      <colorScale>
        <cfvo type="min" val="0"/>
        <cfvo type="max" val="0"/>
        <color rgb="FFF8D7D0"/>
        <color rgb="FFBFE3D0"/>
      </colorScale>
    </cfRule>
  </conditionalFormatting>
  <conditionalFormatting sqref="Q6:Q15">
    <cfRule type="cellIs" priority="3" operator="equal" aboveAverage="0" equalAverage="0" bottom="0" percent="0" rank="0" text="" dxfId="0">
      <formula>"Lead"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3.85" hidden="false" customHeight="false" outlineLevel="0" collapsed="false">
      <c r="A4" s="6" t="s">
        <v>12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  <c r="N4" s="6" t="s">
        <v>55</v>
      </c>
    </row>
    <row r="5" customFormat="false" ht="15" hidden="false" customHeight="false" outlineLevel="0" collapsed="false">
      <c r="A5" s="4" t="str">
        <f aca="false">Scorecard!A6</f>
        <v>Financial Services</v>
      </c>
      <c r="B5" s="8" t="n">
        <f aca="false">(IF(ISNUMBER(Scorecard!J6),Scorecard!J6,Inputs!$B$4)*Inputs!B$9+IF(ISNUMBER(Scorecard!K6),Scorecard!K6,Inputs!$B$4)*Inputs!C$9+IF(ISNUMBER(Scorecard!L6),Scorecard!L6,Inputs!$B$4)*Inputs!D$9+IF(ISNUMBER(Scorecard!M6),Scorecard!M6,Inputs!$B$4)*Inputs!E$9+IF(ISNUMBER(Scorecard!N6),Scorecard!N6,Inputs!$B$4)*Inputs!F$9)/Inputs!$G$9</f>
        <v>76.7468772802063</v>
      </c>
      <c r="C5" s="8" t="n">
        <f aca="false">(IF(ISNUMBER(Scorecard!J6),Scorecard!J6,Inputs!$B$4)*Inputs!B$10+IF(ISNUMBER(Scorecard!K6),Scorecard!K6,Inputs!$B$4)*Inputs!C$10+IF(ISNUMBER(Scorecard!L6),Scorecard!L6,Inputs!$B$4)*Inputs!D$10+IF(ISNUMBER(Scorecard!M6),Scorecard!M6,Inputs!$B$4)*Inputs!E$10+IF(ISNUMBER(Scorecard!N6),Scorecard!N6,Inputs!$B$4)*Inputs!F$10)/Inputs!$G$10</f>
        <v>81.4732402619863</v>
      </c>
      <c r="D5" s="8" t="n">
        <f aca="false">(IF(ISNUMBER(Scorecard!J6),Scorecard!J6,Inputs!$B$4)*Inputs!B$11+IF(ISNUMBER(Scorecard!K6),Scorecard!K6,Inputs!$B$4)*Inputs!C$11+IF(ISNUMBER(Scorecard!L6),Scorecard!L6,Inputs!$B$4)*Inputs!D$11+IF(ISNUMBER(Scorecard!M6),Scorecard!M6,Inputs!$B$4)*Inputs!E$11+IF(ISNUMBER(Scorecard!N6),Scorecard!N6,Inputs!$B$4)*Inputs!F$11)/Inputs!$G$11</f>
        <v>80.1969764692647</v>
      </c>
      <c r="E5" s="8" t="n">
        <f aca="false">(IF(ISNUMBER(Scorecard!J6),Scorecard!J6,Inputs!$B$4)*Inputs!B$12+IF(ISNUMBER(Scorecard!K6),Scorecard!K6,Inputs!$B$4)*Inputs!C$12+IF(ISNUMBER(Scorecard!L6),Scorecard!L6,Inputs!$B$4)*Inputs!D$12+IF(ISNUMBER(Scorecard!M6),Scorecard!M6,Inputs!$B$4)*Inputs!E$12+IF(ISNUMBER(Scorecard!N6),Scorecard!N6,Inputs!$B$4)*Inputs!F$12)/Inputs!$G$12</f>
        <v>68.3810690148147</v>
      </c>
      <c r="F5" s="8" t="n">
        <f aca="false">(IF(ISNUMBER(Scorecard!J6),Scorecard!J6,Inputs!$B$4)*Inputs!B$13+IF(ISNUMBER(Scorecard!K6),Scorecard!K6,Inputs!$B$4)*Inputs!C$13+IF(ISNUMBER(Scorecard!L6),Scorecard!L6,Inputs!$B$4)*Inputs!D$13+IF(ISNUMBER(Scorecard!M6),Scorecard!M6,Inputs!$B$4)*Inputs!E$13+IF(ISNUMBER(Scorecard!N6),Scorecard!N6,Inputs!$B$4)*Inputs!F$13)/Inputs!$G$13</f>
        <v>76.7468772802063</v>
      </c>
      <c r="G5" s="9" t="n">
        <f aca="false">RANK(B5,B$5:B$14)</f>
        <v>1</v>
      </c>
      <c r="H5" s="9" t="n">
        <f aca="false">RANK(C5,C$5:C$14)</f>
        <v>1</v>
      </c>
      <c r="I5" s="9" t="n">
        <f aca="false">RANK(D5,D$5:D$14)</f>
        <v>1</v>
      </c>
      <c r="J5" s="9" t="n">
        <f aca="false">RANK(E5,E$5:E$14)</f>
        <v>1</v>
      </c>
      <c r="K5" s="9" t="n">
        <f aca="false">RANK(F5,F$5:F$14)</f>
        <v>1</v>
      </c>
      <c r="L5" s="9" t="n">
        <f aca="false">MIN(G5:K5)</f>
        <v>1</v>
      </c>
      <c r="M5" s="9" t="n">
        <f aca="false">MAX(G5:K5)</f>
        <v>1</v>
      </c>
      <c r="N5" s="9" t="str">
        <f aca="false">IF(M5-L5&lt;=3,"Stable","Sensitive")</f>
        <v>Stable</v>
      </c>
    </row>
    <row r="6" customFormat="false" ht="15" hidden="false" customHeight="false" outlineLevel="0" collapsed="false">
      <c r="A6" s="4" t="str">
        <f aca="false">Scorecard!A7</f>
        <v>Energy &amp; Resources</v>
      </c>
      <c r="B6" s="8" t="n">
        <f aca="false">(IF(ISNUMBER(Scorecard!J7),Scorecard!J7,Inputs!$B$4)*Inputs!B$9+IF(ISNUMBER(Scorecard!K7),Scorecard!K7,Inputs!$B$4)*Inputs!C$9+IF(ISNUMBER(Scorecard!L7),Scorecard!L7,Inputs!$B$4)*Inputs!D$9+IF(ISNUMBER(Scorecard!M7),Scorecard!M7,Inputs!$B$4)*Inputs!E$9+IF(ISNUMBER(Scorecard!N7),Scorecard!N7,Inputs!$B$4)*Inputs!F$9)/Inputs!$G$9</f>
        <v>45.253634422397</v>
      </c>
      <c r="C6" s="8" t="n">
        <f aca="false">(IF(ISNUMBER(Scorecard!J7),Scorecard!J7,Inputs!$B$4)*Inputs!B$10+IF(ISNUMBER(Scorecard!K7),Scorecard!K7,Inputs!$B$4)*Inputs!C$10+IF(ISNUMBER(Scorecard!L7),Scorecard!L7,Inputs!$B$4)*Inputs!D$10+IF(ISNUMBER(Scorecard!M7),Scorecard!M7,Inputs!$B$4)*Inputs!E$10+IF(ISNUMBER(Scorecard!N7),Scorecard!N7,Inputs!$B$4)*Inputs!F$10)/Inputs!$G$10</f>
        <v>46.8808178201384</v>
      </c>
      <c r="D6" s="8" t="n">
        <f aca="false">(IF(ISNUMBER(Scorecard!J7),Scorecard!J7,Inputs!$B$4)*Inputs!B$11+IF(ISNUMBER(Scorecard!K7),Scorecard!K7,Inputs!$B$4)*Inputs!C$11+IF(ISNUMBER(Scorecard!L7),Scorecard!L7,Inputs!$B$4)*Inputs!D$11+IF(ISNUMBER(Scorecard!M7),Scorecard!M7,Inputs!$B$4)*Inputs!E$11+IF(ISNUMBER(Scorecard!N7),Scorecard!N7,Inputs!$B$4)*Inputs!F$11)/Inputs!$G$11</f>
        <v>48.6627677156428</v>
      </c>
      <c r="E6" s="8" t="n">
        <f aca="false">(IF(ISNUMBER(Scorecard!J7),Scorecard!J7,Inputs!$B$4)*Inputs!B$12+IF(ISNUMBER(Scorecard!K7),Scorecard!K7,Inputs!$B$4)*Inputs!C$12+IF(ISNUMBER(Scorecard!L7),Scorecard!L7,Inputs!$B$4)*Inputs!D$12+IF(ISNUMBER(Scorecard!M7),Scorecard!M7,Inputs!$B$4)*Inputs!E$12+IF(ISNUMBER(Scorecard!N7),Scorecard!N7,Inputs!$B$4)*Inputs!F$12)/Inputs!$G$12</f>
        <v>33.1272249814622</v>
      </c>
      <c r="F6" s="8" t="n">
        <f aca="false">(IF(ISNUMBER(Scorecard!J7),Scorecard!J7,Inputs!$B$4)*Inputs!B$13+IF(ISNUMBER(Scorecard!K7),Scorecard!K7,Inputs!$B$4)*Inputs!C$13+IF(ISNUMBER(Scorecard!L7),Scorecard!L7,Inputs!$B$4)*Inputs!D$13+IF(ISNUMBER(Scorecard!M7),Scorecard!M7,Inputs!$B$4)*Inputs!E$13+IF(ISNUMBER(Scorecard!N7),Scorecard!N7,Inputs!$B$4)*Inputs!F$13)/Inputs!$G$13</f>
        <v>42.1971719343422</v>
      </c>
      <c r="G6" s="9" t="n">
        <f aca="false">RANK(B6,B$5:B$14)</f>
        <v>4</v>
      </c>
      <c r="H6" s="9" t="n">
        <f aca="false">RANK(C6,C$5:C$14)</f>
        <v>4</v>
      </c>
      <c r="I6" s="9" t="n">
        <f aca="false">RANK(D6,D$5:D$14)</f>
        <v>4</v>
      </c>
      <c r="J6" s="9" t="n">
        <f aca="false">RANK(E6,E$5:E$14)</f>
        <v>7</v>
      </c>
      <c r="K6" s="9" t="n">
        <f aca="false">RANK(F6,F$5:F$14)</f>
        <v>4</v>
      </c>
      <c r="L6" s="9" t="n">
        <f aca="false">MIN(G6:K6)</f>
        <v>4</v>
      </c>
      <c r="M6" s="9" t="n">
        <f aca="false">MAX(G6:K6)</f>
        <v>7</v>
      </c>
      <c r="N6" s="9" t="str">
        <f aca="false">IF(M6-L6&lt;=3,"Stable","Sensitive")</f>
        <v>Stable</v>
      </c>
    </row>
    <row r="7" customFormat="false" ht="15" hidden="false" customHeight="false" outlineLevel="0" collapsed="false">
      <c r="A7" s="4" t="str">
        <f aca="false">Scorecard!A8</f>
        <v>Technology, Media &amp; Telecom</v>
      </c>
      <c r="B7" s="8" t="n">
        <f aca="false">(IF(ISNUMBER(Scorecard!J8),Scorecard!J8,Inputs!$B$4)*Inputs!B$9+IF(ISNUMBER(Scorecard!K8),Scorecard!K8,Inputs!$B$4)*Inputs!C$9+IF(ISNUMBER(Scorecard!L8),Scorecard!L8,Inputs!$B$4)*Inputs!D$9+IF(ISNUMBER(Scorecard!M8),Scorecard!M8,Inputs!$B$4)*Inputs!E$9+IF(ISNUMBER(Scorecard!N8),Scorecard!N8,Inputs!$B$4)*Inputs!F$9)/Inputs!$G$9</f>
        <v>33.8935717123099</v>
      </c>
      <c r="C7" s="8" t="n">
        <f aca="false">(IF(ISNUMBER(Scorecard!J8),Scorecard!J8,Inputs!$B$4)*Inputs!B$10+IF(ISNUMBER(Scorecard!K8),Scorecard!K8,Inputs!$B$4)*Inputs!C$10+IF(ISNUMBER(Scorecard!L8),Scorecard!L8,Inputs!$B$4)*Inputs!D$10+IF(ISNUMBER(Scorecard!M8),Scorecard!M8,Inputs!$B$4)*Inputs!E$10+IF(ISNUMBER(Scorecard!N8),Scorecard!N8,Inputs!$B$4)*Inputs!F$10)/Inputs!$G$10</f>
        <v>42.7396052375118</v>
      </c>
      <c r="D7" s="8" t="n">
        <f aca="false">(IF(ISNUMBER(Scorecard!J8),Scorecard!J8,Inputs!$B$4)*Inputs!B$11+IF(ISNUMBER(Scorecard!K8),Scorecard!K8,Inputs!$B$4)*Inputs!C$11+IF(ISNUMBER(Scorecard!L8),Scorecard!L8,Inputs!$B$4)*Inputs!D$11+IF(ISNUMBER(Scorecard!M8),Scorecard!M8,Inputs!$B$4)*Inputs!E$11+IF(ISNUMBER(Scorecard!N8),Scorecard!N8,Inputs!$B$4)*Inputs!F$11)/Inputs!$G$11</f>
        <v>31.9302357299266</v>
      </c>
      <c r="E7" s="8" t="n">
        <f aca="false">(IF(ISNUMBER(Scorecard!J8),Scorecard!J8,Inputs!$B$4)*Inputs!B$12+IF(ISNUMBER(Scorecard!K8),Scorecard!K8,Inputs!$B$4)*Inputs!C$12+IF(ISNUMBER(Scorecard!L8),Scorecard!L8,Inputs!$B$4)*Inputs!D$12+IF(ISNUMBER(Scorecard!M8),Scorecard!M8,Inputs!$B$4)*Inputs!E$12+IF(ISNUMBER(Scorecard!N8),Scorecard!N8,Inputs!$B$4)*Inputs!F$12)/Inputs!$G$12</f>
        <v>24.8948598993652</v>
      </c>
      <c r="F7" s="8" t="n">
        <f aca="false">(IF(ISNUMBER(Scorecard!J8),Scorecard!J8,Inputs!$B$4)*Inputs!B$13+IF(ISNUMBER(Scorecard!K8),Scorecard!K8,Inputs!$B$4)*Inputs!C$13+IF(ISNUMBER(Scorecard!L8),Scorecard!L8,Inputs!$B$4)*Inputs!D$13+IF(ISNUMBER(Scorecard!M8),Scorecard!M8,Inputs!$B$4)*Inputs!E$13+IF(ISNUMBER(Scorecard!N8),Scorecard!N8,Inputs!$B$4)*Inputs!F$13)/Inputs!$G$13</f>
        <v>35.3948068908421</v>
      </c>
      <c r="G7" s="9" t="n">
        <f aca="false">RANK(B7,B$5:B$14)</f>
        <v>7</v>
      </c>
      <c r="H7" s="9" t="n">
        <f aca="false">RANK(C7,C$5:C$14)</f>
        <v>5</v>
      </c>
      <c r="I7" s="9" t="n">
        <f aca="false">RANK(D7,D$5:D$14)</f>
        <v>8</v>
      </c>
      <c r="J7" s="9" t="n">
        <f aca="false">RANK(E7,E$5:E$14)</f>
        <v>9</v>
      </c>
      <c r="K7" s="9" t="n">
        <f aca="false">RANK(F7,F$5:F$14)</f>
        <v>7</v>
      </c>
      <c r="L7" s="9" t="n">
        <f aca="false">MIN(G7:K7)</f>
        <v>5</v>
      </c>
      <c r="M7" s="9" t="n">
        <f aca="false">MAX(G7:K7)</f>
        <v>9</v>
      </c>
      <c r="N7" s="9" t="str">
        <f aca="false">IF(M7-L7&lt;=3,"Stable","Sensitive")</f>
        <v>Sensitive</v>
      </c>
    </row>
    <row r="8" customFormat="false" ht="15" hidden="false" customHeight="false" outlineLevel="0" collapsed="false">
      <c r="A8" s="4" t="str">
        <f aca="false">Scorecard!A9</f>
        <v>Transport &amp; Logistics</v>
      </c>
      <c r="B8" s="8" t="n">
        <f aca="false">(IF(ISNUMBER(Scorecard!J9),Scorecard!J9,Inputs!$B$4)*Inputs!B$9+IF(ISNUMBER(Scorecard!K9),Scorecard!K9,Inputs!$B$4)*Inputs!C$9+IF(ISNUMBER(Scorecard!L9),Scorecard!L9,Inputs!$B$4)*Inputs!D$9+IF(ISNUMBER(Scorecard!M9),Scorecard!M9,Inputs!$B$4)*Inputs!E$9+IF(ISNUMBER(Scorecard!N9),Scorecard!N9,Inputs!$B$4)*Inputs!F$9)/Inputs!$G$9</f>
        <v>22.5672498842338</v>
      </c>
      <c r="C8" s="8" t="n">
        <f aca="false">(IF(ISNUMBER(Scorecard!J9),Scorecard!J9,Inputs!$B$4)*Inputs!B$10+IF(ISNUMBER(Scorecard!K9),Scorecard!K9,Inputs!$B$4)*Inputs!C$10+IF(ISNUMBER(Scorecard!L9),Scorecard!L9,Inputs!$B$4)*Inputs!D$10+IF(ISNUMBER(Scorecard!M9),Scorecard!M9,Inputs!$B$4)*Inputs!E$10+IF(ISNUMBER(Scorecard!N9),Scorecard!N9,Inputs!$B$4)*Inputs!F$10)/Inputs!$G$10</f>
        <v>17.6666640325906</v>
      </c>
      <c r="D8" s="8" t="n">
        <f aca="false">(IF(ISNUMBER(Scorecard!J9),Scorecard!J9,Inputs!$B$4)*Inputs!B$11+IF(ISNUMBER(Scorecard!K9),Scorecard!K9,Inputs!$B$4)*Inputs!C$11+IF(ISNUMBER(Scorecard!L9),Scorecard!L9,Inputs!$B$4)*Inputs!D$11+IF(ISNUMBER(Scorecard!M9),Scorecard!M9,Inputs!$B$4)*Inputs!E$11+IF(ISNUMBER(Scorecard!N9),Scorecard!N9,Inputs!$B$4)*Inputs!F$11)/Inputs!$G$11</f>
        <v>27.983359722147</v>
      </c>
      <c r="E8" s="8" t="n">
        <f aca="false">(IF(ISNUMBER(Scorecard!J9),Scorecard!J9,Inputs!$B$4)*Inputs!B$12+IF(ISNUMBER(Scorecard!K9),Scorecard!K9,Inputs!$B$4)*Inputs!C$12+IF(ISNUMBER(Scorecard!L9),Scorecard!L9,Inputs!$B$4)*Inputs!D$12+IF(ISNUMBER(Scorecard!M9),Scorecard!M9,Inputs!$B$4)*Inputs!E$12+IF(ISNUMBER(Scorecard!N9),Scorecard!N9,Inputs!$B$4)*Inputs!F$12)/Inputs!$G$12</f>
        <v>31.2538633925249</v>
      </c>
      <c r="F8" s="8" t="n">
        <f aca="false">(IF(ISNUMBER(Scorecard!J9),Scorecard!J9,Inputs!$B$4)*Inputs!B$13+IF(ISNUMBER(Scorecard!K9),Scorecard!K9,Inputs!$B$4)*Inputs!C$13+IF(ISNUMBER(Scorecard!L9),Scorecard!L9,Inputs!$B$4)*Inputs!D$13+IF(ISNUMBER(Scorecard!M9),Scorecard!M9,Inputs!$B$4)*Inputs!E$13+IF(ISNUMBER(Scorecard!N9),Scorecard!N9,Inputs!$B$4)*Inputs!F$13)/Inputs!$G$13</f>
        <v>24.3909753386549</v>
      </c>
      <c r="G8" s="9" t="n">
        <f aca="false">RANK(B8,B$5:B$14)</f>
        <v>10</v>
      </c>
      <c r="H8" s="9" t="n">
        <f aca="false">RANK(C8,C$5:C$14)</f>
        <v>10</v>
      </c>
      <c r="I8" s="9" t="n">
        <f aca="false">RANK(D8,D$5:D$14)</f>
        <v>10</v>
      </c>
      <c r="J8" s="9" t="n">
        <f aca="false">RANK(E8,E$5:E$14)</f>
        <v>8</v>
      </c>
      <c r="K8" s="9" t="n">
        <f aca="false">RANK(F8,F$5:F$14)</f>
        <v>10</v>
      </c>
      <c r="L8" s="9" t="n">
        <f aca="false">MIN(G8:K8)</f>
        <v>8</v>
      </c>
      <c r="M8" s="9" t="n">
        <f aca="false">MAX(G8:K8)</f>
        <v>10</v>
      </c>
      <c r="N8" s="9" t="str">
        <f aca="false">IF(M8-L8&lt;=3,"Stable","Sensitive")</f>
        <v>Stable</v>
      </c>
    </row>
    <row r="9" customFormat="false" ht="15" hidden="false" customHeight="false" outlineLevel="0" collapsed="false">
      <c r="A9" s="4" t="str">
        <f aca="false">Scorecard!A10</f>
        <v>Public Sector &amp; Development</v>
      </c>
      <c r="B9" s="8" t="n">
        <f aca="false">(IF(ISNUMBER(Scorecard!J10),Scorecard!J10,Inputs!$B$4)*Inputs!B$9+IF(ISNUMBER(Scorecard!K10),Scorecard!K10,Inputs!$B$4)*Inputs!C$9+IF(ISNUMBER(Scorecard!L10),Scorecard!L10,Inputs!$B$4)*Inputs!D$9+IF(ISNUMBER(Scorecard!M10),Scorecard!M10,Inputs!$B$4)*Inputs!E$9+IF(ISNUMBER(Scorecard!N10),Scorecard!N10,Inputs!$B$4)*Inputs!F$9)/Inputs!$G$9</f>
        <v>60.8105480510694</v>
      </c>
      <c r="C9" s="8" t="n">
        <f aca="false">(IF(ISNUMBER(Scorecard!J10),Scorecard!J10,Inputs!$B$4)*Inputs!B$10+IF(ISNUMBER(Scorecard!K10),Scorecard!K10,Inputs!$B$4)*Inputs!C$10+IF(ISNUMBER(Scorecard!L10),Scorecard!L10,Inputs!$B$4)*Inputs!D$10+IF(ISNUMBER(Scorecard!M10),Scorecard!M10,Inputs!$B$4)*Inputs!E$10+IF(ISNUMBER(Scorecard!N10),Scorecard!N10,Inputs!$B$4)*Inputs!F$10)/Inputs!$G$10</f>
        <v>63.0159842971727</v>
      </c>
      <c r="D9" s="8" t="n">
        <f aca="false">(IF(ISNUMBER(Scorecard!J10),Scorecard!J10,Inputs!$B$4)*Inputs!B$11+IF(ISNUMBER(Scorecard!K10),Scorecard!K10,Inputs!$B$4)*Inputs!C$11+IF(ISNUMBER(Scorecard!L10),Scorecard!L10,Inputs!$B$4)*Inputs!D$11+IF(ISNUMBER(Scorecard!M10),Scorecard!M10,Inputs!$B$4)*Inputs!E$11+IF(ISNUMBER(Scorecard!N10),Scorecard!N10,Inputs!$B$4)*Inputs!F$11)/Inputs!$G$11</f>
        <v>57.3437027386432</v>
      </c>
      <c r="E9" s="8" t="n">
        <f aca="false">(IF(ISNUMBER(Scorecard!J10),Scorecard!J10,Inputs!$B$4)*Inputs!B$12+IF(ISNUMBER(Scorecard!K10),Scorecard!K10,Inputs!$B$4)*Inputs!C$12+IF(ISNUMBER(Scorecard!L10),Scorecard!L10,Inputs!$B$4)*Inputs!D$12+IF(ISNUMBER(Scorecard!M10),Scorecard!M10,Inputs!$B$4)*Inputs!E$12+IF(ISNUMBER(Scorecard!N10),Scorecard!N10,Inputs!$B$4)*Inputs!F$12)/Inputs!$G$12</f>
        <v>60.1178420418086</v>
      </c>
      <c r="F9" s="8" t="n">
        <f aca="false">(IF(ISNUMBER(Scorecard!J10),Scorecard!J10,Inputs!$B$4)*Inputs!B$13+IF(ISNUMBER(Scorecard!K10),Scorecard!K10,Inputs!$B$4)*Inputs!C$13+IF(ISNUMBER(Scorecard!L10),Scorecard!L10,Inputs!$B$4)*Inputs!D$13+IF(ISNUMBER(Scorecard!M10),Scorecard!M10,Inputs!$B$4)*Inputs!E$13+IF(ISNUMBER(Scorecard!N10),Scorecard!N10,Inputs!$B$4)*Inputs!F$13)/Inputs!$G$13</f>
        <v>58.8494953772713</v>
      </c>
      <c r="G9" s="9" t="n">
        <f aca="false">RANK(B9,B$5:B$14)</f>
        <v>3</v>
      </c>
      <c r="H9" s="9" t="n">
        <f aca="false">RANK(C9,C$5:C$14)</f>
        <v>3</v>
      </c>
      <c r="I9" s="9" t="n">
        <f aca="false">RANK(D9,D$5:D$14)</f>
        <v>2</v>
      </c>
      <c r="J9" s="9" t="n">
        <f aca="false">RANK(E9,E$5:E$14)</f>
        <v>3</v>
      </c>
      <c r="K9" s="9" t="n">
        <f aca="false">RANK(F9,F$5:F$14)</f>
        <v>3</v>
      </c>
      <c r="L9" s="9" t="n">
        <f aca="false">MIN(G9:K9)</f>
        <v>2</v>
      </c>
      <c r="M9" s="9" t="n">
        <f aca="false">MAX(G9:K9)</f>
        <v>3</v>
      </c>
      <c r="N9" s="9" t="str">
        <f aca="false">IF(M9-L9&lt;=3,"Stable","Sensitive")</f>
        <v>Stable</v>
      </c>
    </row>
    <row r="10" customFormat="false" ht="15" hidden="false" customHeight="false" outlineLevel="0" collapsed="false">
      <c r="A10" s="4" t="str">
        <f aca="false">Scorecard!A11</f>
        <v>Health</v>
      </c>
      <c r="B10" s="8" t="n">
        <f aca="false">(IF(ISNUMBER(Scorecard!J11),Scorecard!J11,Inputs!$B$4)*Inputs!B$9+IF(ISNUMBER(Scorecard!K11),Scorecard!K11,Inputs!$B$4)*Inputs!C$9+IF(ISNUMBER(Scorecard!L11),Scorecard!L11,Inputs!$B$4)*Inputs!D$9+IF(ISNUMBER(Scorecard!M11),Scorecard!M11,Inputs!$B$4)*Inputs!E$9+IF(ISNUMBER(Scorecard!N11),Scorecard!N11,Inputs!$B$4)*Inputs!F$9)/Inputs!$G$9</f>
        <v>32.1369885543345</v>
      </c>
      <c r="C10" s="8" t="n">
        <f aca="false">(IF(ISNUMBER(Scorecard!J11),Scorecard!J11,Inputs!$B$4)*Inputs!B$10+IF(ISNUMBER(Scorecard!K11),Scorecard!K11,Inputs!$B$4)*Inputs!C$10+IF(ISNUMBER(Scorecard!L11),Scorecard!L11,Inputs!$B$4)*Inputs!D$10+IF(ISNUMBER(Scorecard!M11),Scorecard!M11,Inputs!$B$4)*Inputs!E$10+IF(ISNUMBER(Scorecard!N11),Scorecard!N11,Inputs!$B$4)*Inputs!F$10)/Inputs!$G$10</f>
        <v>33.4551061171644</v>
      </c>
      <c r="D10" s="8" t="n">
        <f aca="false">(IF(ISNUMBER(Scorecard!J11),Scorecard!J11,Inputs!$B$4)*Inputs!B$11+IF(ISNUMBER(Scorecard!K11),Scorecard!K11,Inputs!$B$4)*Inputs!C$11+IF(ISNUMBER(Scorecard!L11),Scorecard!L11,Inputs!$B$4)*Inputs!D$11+IF(ISNUMBER(Scorecard!M11),Scorecard!M11,Inputs!$B$4)*Inputs!E$11+IF(ISNUMBER(Scorecard!N11),Scorecard!N11,Inputs!$B$4)*Inputs!F$11)/Inputs!$G$11</f>
        <v>35.1480236678747</v>
      </c>
      <c r="E10" s="8" t="n">
        <f aca="false">(IF(ISNUMBER(Scorecard!J11),Scorecard!J11,Inputs!$B$4)*Inputs!B$12+IF(ISNUMBER(Scorecard!K11),Scorecard!K11,Inputs!$B$4)*Inputs!C$12+IF(ISNUMBER(Scorecard!L11),Scorecard!L11,Inputs!$B$4)*Inputs!D$12+IF(ISNUMBER(Scorecard!M11),Scorecard!M11,Inputs!$B$4)*Inputs!E$12+IF(ISNUMBER(Scorecard!N11),Scorecard!N11,Inputs!$B$4)*Inputs!F$12)/Inputs!$G$12</f>
        <v>22.6480236678747</v>
      </c>
      <c r="F10" s="8" t="n">
        <f aca="false">(IF(ISNUMBER(Scorecard!J11),Scorecard!J11,Inputs!$B$4)*Inputs!B$13+IF(ISNUMBER(Scorecard!K11),Scorecard!K11,Inputs!$B$4)*Inputs!C$13+IF(ISNUMBER(Scorecard!L11),Scorecard!L11,Inputs!$B$4)*Inputs!D$13+IF(ISNUMBER(Scorecard!M11),Scorecard!M11,Inputs!$B$4)*Inputs!E$13+IF(ISNUMBER(Scorecard!N11),Scorecard!N11,Inputs!$B$4)*Inputs!F$13)/Inputs!$G$13</f>
        <v>32.6362351256598</v>
      </c>
      <c r="G10" s="9" t="n">
        <f aca="false">RANK(B10,B$5:B$14)</f>
        <v>8</v>
      </c>
      <c r="H10" s="9" t="n">
        <f aca="false">RANK(C10,C$5:C$14)</f>
        <v>8</v>
      </c>
      <c r="I10" s="9" t="n">
        <f aca="false">RANK(D10,D$5:D$14)</f>
        <v>6</v>
      </c>
      <c r="J10" s="9" t="n">
        <f aca="false">RANK(E10,E$5:E$14)</f>
        <v>10</v>
      </c>
      <c r="K10" s="9" t="n">
        <f aca="false">RANK(F10,F$5:F$14)</f>
        <v>8</v>
      </c>
      <c r="L10" s="9" t="n">
        <f aca="false">MIN(G10:K10)</f>
        <v>6</v>
      </c>
      <c r="M10" s="9" t="n">
        <f aca="false">MAX(G10:K10)</f>
        <v>10</v>
      </c>
      <c r="N10" s="9" t="str">
        <f aca="false">IF(M10-L10&lt;=3,"Stable","Sensitive")</f>
        <v>Sensitive</v>
      </c>
    </row>
    <row r="11" customFormat="false" ht="15" hidden="false" customHeight="false" outlineLevel="0" collapsed="false">
      <c r="A11" s="4" t="str">
        <f aca="false">Scorecard!A12</f>
        <v>Consumer &amp; Retail</v>
      </c>
      <c r="B11" s="8" t="n">
        <f aca="false">(IF(ISNUMBER(Scorecard!J12),Scorecard!J12,Inputs!$B$4)*Inputs!B$9+IF(ISNUMBER(Scorecard!K12),Scorecard!K12,Inputs!$B$4)*Inputs!C$9+IF(ISNUMBER(Scorecard!L12),Scorecard!L12,Inputs!$B$4)*Inputs!D$9+IF(ISNUMBER(Scorecard!M12),Scorecard!M12,Inputs!$B$4)*Inputs!E$9+IF(ISNUMBER(Scorecard!N12),Scorecard!N12,Inputs!$B$4)*Inputs!F$9)/Inputs!$G$9</f>
        <v>63.2494964805595</v>
      </c>
      <c r="C11" s="8" t="n">
        <f aca="false">(IF(ISNUMBER(Scorecard!J12),Scorecard!J12,Inputs!$B$4)*Inputs!B$10+IF(ISNUMBER(Scorecard!K12),Scorecard!K12,Inputs!$B$4)*Inputs!C$10+IF(ISNUMBER(Scorecard!L12),Scorecard!L12,Inputs!$B$4)*Inputs!D$10+IF(ISNUMBER(Scorecard!M12),Scorecard!M12,Inputs!$B$4)*Inputs!E$10+IF(ISNUMBER(Scorecard!N12),Scorecard!N12,Inputs!$B$4)*Inputs!F$10)/Inputs!$G$10</f>
        <v>70.3113227318214</v>
      </c>
      <c r="D11" s="8" t="n">
        <f aca="false">(IF(ISNUMBER(Scorecard!J12),Scorecard!J12,Inputs!$B$4)*Inputs!B$11+IF(ISNUMBER(Scorecard!K12),Scorecard!K12,Inputs!$B$4)*Inputs!C$11+IF(ISNUMBER(Scorecard!L12),Scorecard!L12,Inputs!$B$4)*Inputs!D$11+IF(ISNUMBER(Scorecard!M12),Scorecard!M12,Inputs!$B$4)*Inputs!E$11+IF(ISNUMBER(Scorecard!N12),Scorecard!N12,Inputs!$B$4)*Inputs!F$11)/Inputs!$G$11</f>
        <v>50.8734353218669</v>
      </c>
      <c r="E11" s="8" t="n">
        <f aca="false">(IF(ISNUMBER(Scorecard!J12),Scorecard!J12,Inputs!$B$4)*Inputs!B$12+IF(ISNUMBER(Scorecard!K12),Scorecard!K12,Inputs!$B$4)*Inputs!C$12+IF(ISNUMBER(Scorecard!L12),Scorecard!L12,Inputs!$B$4)*Inputs!D$12+IF(ISNUMBER(Scorecard!M12),Scorecard!M12,Inputs!$B$4)*Inputs!E$12+IF(ISNUMBER(Scorecard!N12),Scorecard!N12,Inputs!$B$4)*Inputs!F$12)/Inputs!$G$12</f>
        <v>58.9215579380216</v>
      </c>
      <c r="F11" s="8" t="n">
        <f aca="false">(IF(ISNUMBER(Scorecard!J12),Scorecard!J12,Inputs!$B$4)*Inputs!B$13+IF(ISNUMBER(Scorecard!K12),Scorecard!K12,Inputs!$B$4)*Inputs!C$13+IF(ISNUMBER(Scorecard!L12),Scorecard!L12,Inputs!$B$4)*Inputs!D$13+IF(ISNUMBER(Scorecard!M12),Scorecard!M12,Inputs!$B$4)*Inputs!E$13+IF(ISNUMBER(Scorecard!N12),Scorecard!N12,Inputs!$B$4)*Inputs!F$13)/Inputs!$G$13</f>
        <v>62.0391717296056</v>
      </c>
      <c r="G11" s="9" t="n">
        <f aca="false">RANK(B11,B$5:B$14)</f>
        <v>2</v>
      </c>
      <c r="H11" s="9" t="n">
        <f aca="false">RANK(C11,C$5:C$14)</f>
        <v>2</v>
      </c>
      <c r="I11" s="9" t="n">
        <f aca="false">RANK(D11,D$5:D$14)</f>
        <v>3</v>
      </c>
      <c r="J11" s="9" t="n">
        <f aca="false">RANK(E11,E$5:E$14)</f>
        <v>4</v>
      </c>
      <c r="K11" s="9" t="n">
        <f aca="false">RANK(F11,F$5:F$14)</f>
        <v>2</v>
      </c>
      <c r="L11" s="9" t="n">
        <f aca="false">MIN(G11:K11)</f>
        <v>2</v>
      </c>
      <c r="M11" s="9" t="n">
        <f aca="false">MAX(G11:K11)</f>
        <v>4</v>
      </c>
      <c r="N11" s="9" t="str">
        <f aca="false">IF(M11-L11&lt;=3,"Stable","Sensitive")</f>
        <v>Stable</v>
      </c>
    </row>
    <row r="12" customFormat="false" ht="15" hidden="false" customHeight="false" outlineLevel="0" collapsed="false">
      <c r="A12" s="4" t="str">
        <f aca="false">Scorecard!A13</f>
        <v>Agribusiness</v>
      </c>
      <c r="B12" s="8" t="n">
        <f aca="false">(IF(ISNUMBER(Scorecard!J13),Scorecard!J13,Inputs!$B$4)*Inputs!B$9+IF(ISNUMBER(Scorecard!K13),Scorecard!K13,Inputs!$B$4)*Inputs!C$9+IF(ISNUMBER(Scorecard!L13),Scorecard!L13,Inputs!$B$4)*Inputs!D$9+IF(ISNUMBER(Scorecard!M13),Scorecard!M13,Inputs!$B$4)*Inputs!E$9+IF(ISNUMBER(Scorecard!N13),Scorecard!N13,Inputs!$B$4)*Inputs!F$9)/Inputs!$G$9</f>
        <v>43.5060581659278</v>
      </c>
      <c r="C12" s="8" t="n">
        <f aca="false">(IF(ISNUMBER(Scorecard!J13),Scorecard!J13,Inputs!$B$4)*Inputs!B$10+IF(ISNUMBER(Scorecard!K13),Scorecard!K13,Inputs!$B$4)*Inputs!C$10+IF(ISNUMBER(Scorecard!L13),Scorecard!L13,Inputs!$B$4)*Inputs!D$10+IF(ISNUMBER(Scorecard!M13),Scorecard!M13,Inputs!$B$4)*Inputs!E$10+IF(ISNUMBER(Scorecard!N13),Scorecard!N13,Inputs!$B$4)*Inputs!F$10)/Inputs!$G$10</f>
        <v>37.1901259108218</v>
      </c>
      <c r="D12" s="8" t="n">
        <f aca="false">(IF(ISNUMBER(Scorecard!J13),Scorecard!J13,Inputs!$B$4)*Inputs!B$11+IF(ISNUMBER(Scorecard!K13),Scorecard!K13,Inputs!$B$4)*Inputs!C$11+IF(ISNUMBER(Scorecard!L13),Scorecard!L13,Inputs!$B$4)*Inputs!D$11+IF(ISNUMBER(Scorecard!M13),Scorecard!M13,Inputs!$B$4)*Inputs!E$11+IF(ISNUMBER(Scorecard!N13),Scorecard!N13,Inputs!$B$4)*Inputs!F$11)/Inputs!$G$11</f>
        <v>41.4368410872164</v>
      </c>
      <c r="E12" s="8" t="n">
        <f aca="false">(IF(ISNUMBER(Scorecard!J13),Scorecard!J13,Inputs!$B$4)*Inputs!B$12+IF(ISNUMBER(Scorecard!K13),Scorecard!K13,Inputs!$B$4)*Inputs!C$12+IF(ISNUMBER(Scorecard!L13),Scorecard!L13,Inputs!$B$4)*Inputs!D$12+IF(ISNUMBER(Scorecard!M13),Scorecard!M13,Inputs!$B$4)*Inputs!E$12+IF(ISNUMBER(Scorecard!N13),Scorecard!N13,Inputs!$B$4)*Inputs!F$12)/Inputs!$G$12</f>
        <v>60.6329827338071</v>
      </c>
      <c r="F12" s="8" t="n">
        <f aca="false">(IF(ISNUMBER(Scorecard!J13),Scorecard!J13,Inputs!$B$4)*Inputs!B$13+IF(ISNUMBER(Scorecard!K13),Scorecard!K13,Inputs!$B$4)*Inputs!C$13+IF(ISNUMBER(Scorecard!L13),Scorecard!L13,Inputs!$B$4)*Inputs!D$13+IF(ISNUMBER(Scorecard!M13),Scorecard!M13,Inputs!$B$4)*Inputs!E$13+IF(ISNUMBER(Scorecard!N13),Scorecard!N13,Inputs!$B$4)*Inputs!F$13)/Inputs!$G$13</f>
        <v>41.5254256896307</v>
      </c>
      <c r="G12" s="9" t="n">
        <f aca="false">RANK(B12,B$5:B$14)</f>
        <v>5</v>
      </c>
      <c r="H12" s="9" t="n">
        <f aca="false">RANK(C12,C$5:C$14)</f>
        <v>7</v>
      </c>
      <c r="I12" s="9" t="n">
        <f aca="false">RANK(D12,D$5:D$14)</f>
        <v>5</v>
      </c>
      <c r="J12" s="9" t="n">
        <f aca="false">RANK(E12,E$5:E$14)</f>
        <v>2</v>
      </c>
      <c r="K12" s="9" t="n">
        <f aca="false">RANK(F12,F$5:F$14)</f>
        <v>5</v>
      </c>
      <c r="L12" s="9" t="n">
        <f aca="false">MIN(G12:K12)</f>
        <v>2</v>
      </c>
      <c r="M12" s="9" t="n">
        <f aca="false">MAX(G12:K12)</f>
        <v>7</v>
      </c>
      <c r="N12" s="9" t="str">
        <f aca="false">IF(M12-L12&lt;=3,"Stable","Sensitive")</f>
        <v>Sensitive</v>
      </c>
    </row>
    <row r="13" customFormat="false" ht="15" hidden="false" customHeight="false" outlineLevel="0" collapsed="false">
      <c r="A13" s="4" t="str">
        <f aca="false">Scorecard!A14</f>
        <v>Real Estate &amp; Construction</v>
      </c>
      <c r="B13" s="8" t="n">
        <f aca="false">(IF(ISNUMBER(Scorecard!J14),Scorecard!J14,Inputs!$B$4)*Inputs!B$9+IF(ISNUMBER(Scorecard!K14),Scorecard!K14,Inputs!$B$4)*Inputs!C$9+IF(ISNUMBER(Scorecard!L14),Scorecard!L14,Inputs!$B$4)*Inputs!D$9+IF(ISNUMBER(Scorecard!M14),Scorecard!M14,Inputs!$B$4)*Inputs!E$9+IF(ISNUMBER(Scorecard!N14),Scorecard!N14,Inputs!$B$4)*Inputs!F$9)/Inputs!$G$9</f>
        <v>41.5386836277037</v>
      </c>
      <c r="C13" s="8" t="n">
        <f aca="false">(IF(ISNUMBER(Scorecard!J14),Scorecard!J14,Inputs!$B$4)*Inputs!B$10+IF(ISNUMBER(Scorecard!K14),Scorecard!K14,Inputs!$B$4)*Inputs!C$10+IF(ISNUMBER(Scorecard!L14),Scorecard!L14,Inputs!$B$4)*Inputs!D$10+IF(ISNUMBER(Scorecard!M14),Scorecard!M14,Inputs!$B$4)*Inputs!E$10+IF(ISNUMBER(Scorecard!N14),Scorecard!N14,Inputs!$B$4)*Inputs!F$10)/Inputs!$G$10</f>
        <v>42.5731533586111</v>
      </c>
      <c r="D13" s="8" t="n">
        <f aca="false">(IF(ISNUMBER(Scorecard!J14),Scorecard!J14,Inputs!$B$4)*Inputs!B$11+IF(ISNUMBER(Scorecard!K14),Scorecard!K14,Inputs!$B$4)*Inputs!C$11+IF(ISNUMBER(Scorecard!L14),Scorecard!L14,Inputs!$B$4)*Inputs!D$11+IF(ISNUMBER(Scorecard!M14),Scorecard!M14,Inputs!$B$4)*Inputs!E$11+IF(ISNUMBER(Scorecard!N14),Scorecard!N14,Inputs!$B$4)*Inputs!F$11)/Inputs!$G$11</f>
        <v>32.7148842322656</v>
      </c>
      <c r="E13" s="8" t="n">
        <f aca="false">(IF(ISNUMBER(Scorecard!J14),Scorecard!J14,Inputs!$B$4)*Inputs!B$12+IF(ISNUMBER(Scorecard!K14),Scorecard!K14,Inputs!$B$4)*Inputs!C$12+IF(ISNUMBER(Scorecard!L14),Scorecard!L14,Inputs!$B$4)*Inputs!D$12+IF(ISNUMBER(Scorecard!M14),Scorecard!M14,Inputs!$B$4)*Inputs!E$12+IF(ISNUMBER(Scorecard!N14),Scorecard!N14,Inputs!$B$4)*Inputs!F$12)/Inputs!$G$12</f>
        <v>55.8225031429629</v>
      </c>
      <c r="F13" s="8" t="n">
        <f aca="false">(IF(ISNUMBER(Scorecard!J14),Scorecard!J14,Inputs!$B$4)*Inputs!B$13+IF(ISNUMBER(Scorecard!K14),Scorecard!K14,Inputs!$B$4)*Inputs!C$13+IF(ISNUMBER(Scorecard!L14),Scorecard!L14,Inputs!$B$4)*Inputs!D$13+IF(ISNUMBER(Scorecard!M14),Scorecard!M14,Inputs!$B$4)*Inputs!E$13+IF(ISNUMBER(Scorecard!N14),Scorecard!N14,Inputs!$B$4)*Inputs!F$13)/Inputs!$G$13</f>
        <v>39.5735918402833</v>
      </c>
      <c r="G13" s="9" t="n">
        <f aca="false">RANK(B13,B$5:B$14)</f>
        <v>6</v>
      </c>
      <c r="H13" s="9" t="n">
        <f aca="false">RANK(C13,C$5:C$14)</f>
        <v>6</v>
      </c>
      <c r="I13" s="9" t="n">
        <f aca="false">RANK(D13,D$5:D$14)</f>
        <v>7</v>
      </c>
      <c r="J13" s="9" t="n">
        <f aca="false">RANK(E13,E$5:E$14)</f>
        <v>5</v>
      </c>
      <c r="K13" s="9" t="n">
        <f aca="false">RANK(F13,F$5:F$14)</f>
        <v>6</v>
      </c>
      <c r="L13" s="9" t="n">
        <f aca="false">MIN(G13:K13)</f>
        <v>5</v>
      </c>
      <c r="M13" s="9" t="n">
        <f aca="false">MAX(G13:K13)</f>
        <v>7</v>
      </c>
      <c r="N13" s="9" t="str">
        <f aca="false">IF(M13-L13&lt;=3,"Stable","Sensitive")</f>
        <v>Stable</v>
      </c>
    </row>
    <row r="14" customFormat="false" ht="15" hidden="false" customHeight="false" outlineLevel="0" collapsed="false">
      <c r="A14" s="4" t="str">
        <f aca="false">Scorecard!A15</f>
        <v>Manufacturing</v>
      </c>
      <c r="B14" s="8" t="n">
        <f aca="false">(IF(ISNUMBER(Scorecard!J15),Scorecard!J15,Inputs!$B$4)*Inputs!B$9+IF(ISNUMBER(Scorecard!K15),Scorecard!K15,Inputs!$B$4)*Inputs!C$9+IF(ISNUMBER(Scorecard!L15),Scorecard!L15,Inputs!$B$4)*Inputs!D$9+IF(ISNUMBER(Scorecard!M15),Scorecard!M15,Inputs!$B$4)*Inputs!E$9+IF(ISNUMBER(Scorecard!N15),Scorecard!N15,Inputs!$B$4)*Inputs!F$9)/Inputs!$G$9</f>
        <v>30.4775076577492</v>
      </c>
      <c r="C14" s="8" t="n">
        <f aca="false">(IF(ISNUMBER(Scorecard!J15),Scorecard!J15,Inputs!$B$4)*Inputs!B$10+IF(ISNUMBER(Scorecard!K15),Scorecard!K15,Inputs!$B$4)*Inputs!C$10+IF(ISNUMBER(Scorecard!L15),Scorecard!L15,Inputs!$B$4)*Inputs!D$10+IF(ISNUMBER(Scorecard!M15),Scorecard!M15,Inputs!$B$4)*Inputs!E$10+IF(ISNUMBER(Scorecard!N15),Scorecard!N15,Inputs!$B$4)*Inputs!F$10)/Inputs!$G$10</f>
        <v>26.9735110732462</v>
      </c>
      <c r="D14" s="8" t="n">
        <f aca="false">(IF(ISNUMBER(Scorecard!J15),Scorecard!J15,Inputs!$B$4)*Inputs!B$11+IF(ISNUMBER(Scorecard!K15),Scorecard!K15,Inputs!$B$4)*Inputs!C$11+IF(ISNUMBER(Scorecard!L15),Scorecard!L15,Inputs!$B$4)*Inputs!D$11+IF(ISNUMBER(Scorecard!M15),Scorecard!M15,Inputs!$B$4)*Inputs!E$11+IF(ISNUMBER(Scorecard!N15),Scorecard!N15,Inputs!$B$4)*Inputs!F$11)/Inputs!$G$11</f>
        <v>30.4701574459283</v>
      </c>
      <c r="E14" s="8" t="n">
        <f aca="false">(IF(ISNUMBER(Scorecard!J15),Scorecard!J15,Inputs!$B$4)*Inputs!B$12+IF(ISNUMBER(Scorecard!K15),Scorecard!K15,Inputs!$B$4)*Inputs!C$12+IF(ISNUMBER(Scorecard!L15),Scorecard!L15,Inputs!$B$4)*Inputs!D$12+IF(ISNUMBER(Scorecard!M15),Scorecard!M15,Inputs!$B$4)*Inputs!E$12+IF(ISNUMBER(Scorecard!N15),Scorecard!N15,Inputs!$B$4)*Inputs!F$12)/Inputs!$G$12</f>
        <v>33.1596283937534</v>
      </c>
      <c r="F14" s="8" t="n">
        <f aca="false">(IF(ISNUMBER(Scorecard!J15),Scorecard!J15,Inputs!$B$4)*Inputs!B$13+IF(ISNUMBER(Scorecard!K15),Scorecard!K15,Inputs!$B$4)*Inputs!C$13+IF(ISNUMBER(Scorecard!L15),Scorecard!L15,Inputs!$B$4)*Inputs!D$13+IF(ISNUMBER(Scorecard!M15),Scorecard!M15,Inputs!$B$4)*Inputs!E$13+IF(ISNUMBER(Scorecard!N15),Scorecard!N15,Inputs!$B$4)*Inputs!F$13)/Inputs!$G$13</f>
        <v>28.9522542333084</v>
      </c>
      <c r="G14" s="9" t="n">
        <f aca="false">RANK(B14,B$5:B$14)</f>
        <v>9</v>
      </c>
      <c r="H14" s="9" t="n">
        <f aca="false">RANK(C14,C$5:C$14)</f>
        <v>9</v>
      </c>
      <c r="I14" s="9" t="n">
        <f aca="false">RANK(D14,D$5:D$14)</f>
        <v>9</v>
      </c>
      <c r="J14" s="9" t="n">
        <f aca="false">RANK(E14,E$5:E$14)</f>
        <v>6</v>
      </c>
      <c r="K14" s="9" t="n">
        <f aca="false">RANK(F14,F$5:F$14)</f>
        <v>9</v>
      </c>
      <c r="L14" s="9" t="n">
        <f aca="false">MIN(G14:K14)</f>
        <v>6</v>
      </c>
      <c r="M14" s="9" t="n">
        <f aca="false">MAX(G14:K14)</f>
        <v>9</v>
      </c>
      <c r="N14" s="9" t="str">
        <f aca="false">IF(M14-L14&lt;=3,"Stable","Sensitive")</f>
        <v>Stable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4" t="s">
        <v>58</v>
      </c>
      <c r="B3" s="11" t="s">
        <v>59</v>
      </c>
    </row>
    <row r="4" customFormat="false" ht="15" hidden="false" customHeight="false" outlineLevel="0" collapsed="false">
      <c r="A4" s="4" t="s">
        <v>60</v>
      </c>
      <c r="B4" s="11" t="n">
        <v>50</v>
      </c>
    </row>
    <row r="5" customFormat="false" ht="15" hidden="false" customHeight="false" outlineLevel="0" collapsed="false">
      <c r="A5" s="4" t="s">
        <v>61</v>
      </c>
      <c r="B5" s="11" t="n">
        <v>3</v>
      </c>
    </row>
    <row r="6" customFormat="false" ht="15" hidden="false" customHeight="false" outlineLevel="0" collapsed="false">
      <c r="A6" s="4" t="s">
        <v>62</v>
      </c>
      <c r="B6" s="11" t="n">
        <v>7</v>
      </c>
    </row>
    <row r="8" customFormat="false" ht="15" hidden="false" customHeight="false" outlineLevel="0" collapsed="false">
      <c r="A8" s="6" t="s">
        <v>63</v>
      </c>
      <c r="B8" s="6" t="s">
        <v>64</v>
      </c>
      <c r="C8" s="6" t="s">
        <v>22</v>
      </c>
      <c r="D8" s="6" t="s">
        <v>23</v>
      </c>
      <c r="E8" s="6" t="s">
        <v>24</v>
      </c>
      <c r="F8" s="6" t="s">
        <v>25</v>
      </c>
      <c r="G8" s="6" t="s">
        <v>65</v>
      </c>
    </row>
    <row r="9" customFormat="false" ht="15" hidden="false" customHeight="false" outlineLevel="0" collapsed="false">
      <c r="A9" s="3" t="s">
        <v>59</v>
      </c>
      <c r="B9" s="11" t="n">
        <v>20</v>
      </c>
      <c r="C9" s="11" t="n">
        <v>25</v>
      </c>
      <c r="D9" s="11" t="n">
        <v>15</v>
      </c>
      <c r="E9" s="11" t="n">
        <v>20</v>
      </c>
      <c r="F9" s="11" t="n">
        <v>20</v>
      </c>
      <c r="G9" s="3" t="n">
        <f aca="false">SUM(B9:F9)</f>
        <v>100</v>
      </c>
    </row>
    <row r="10" customFormat="false" ht="15" hidden="false" customHeight="false" outlineLevel="0" collapsed="false">
      <c r="A10" s="3" t="s">
        <v>66</v>
      </c>
      <c r="B10" s="11" t="n">
        <v>10</v>
      </c>
      <c r="C10" s="11" t="n">
        <v>35</v>
      </c>
      <c r="D10" s="11" t="n">
        <v>25</v>
      </c>
      <c r="E10" s="11" t="n">
        <v>20</v>
      </c>
      <c r="F10" s="11" t="n">
        <v>10</v>
      </c>
      <c r="G10" s="3" t="n">
        <f aca="false">SUM(B10:F10)</f>
        <v>100</v>
      </c>
    </row>
    <row r="11" customFormat="false" ht="15" hidden="false" customHeight="false" outlineLevel="0" collapsed="false">
      <c r="A11" s="3" t="s">
        <v>67</v>
      </c>
      <c r="B11" s="11" t="n">
        <v>20</v>
      </c>
      <c r="C11" s="11" t="n">
        <v>15</v>
      </c>
      <c r="D11" s="11" t="n">
        <v>10</v>
      </c>
      <c r="E11" s="11" t="n">
        <v>15</v>
      </c>
      <c r="F11" s="11" t="n">
        <v>40</v>
      </c>
      <c r="G11" s="3" t="n">
        <f aca="false">SUM(B11:F11)</f>
        <v>100</v>
      </c>
    </row>
    <row r="12" customFormat="false" ht="15" hidden="false" customHeight="false" outlineLevel="0" collapsed="false">
      <c r="A12" s="3" t="s">
        <v>68</v>
      </c>
      <c r="B12" s="11" t="n">
        <v>45</v>
      </c>
      <c r="C12" s="11" t="n">
        <v>15</v>
      </c>
      <c r="D12" s="11" t="n">
        <v>10</v>
      </c>
      <c r="E12" s="11" t="n">
        <v>15</v>
      </c>
      <c r="F12" s="11" t="n">
        <v>15</v>
      </c>
      <c r="G12" s="3" t="n">
        <f aca="false">SUM(B12:F12)</f>
        <v>100</v>
      </c>
    </row>
    <row r="13" customFormat="false" ht="15" hidden="false" customHeight="false" outlineLevel="0" collapsed="false">
      <c r="A13" s="3" t="s">
        <v>69</v>
      </c>
      <c r="B13" s="11" t="n">
        <v>20</v>
      </c>
      <c r="C13" s="11" t="n">
        <v>20</v>
      </c>
      <c r="D13" s="11" t="n">
        <v>20</v>
      </c>
      <c r="E13" s="11" t="n">
        <v>20</v>
      </c>
      <c r="F13" s="11" t="n">
        <v>20</v>
      </c>
      <c r="G13" s="3" t="n">
        <f aca="false">SUM(B13:F13)</f>
        <v>100</v>
      </c>
    </row>
  </sheetData>
  <dataValidations count="1">
    <dataValidation allowBlank="false" errorStyle="stop" operator="between" showDropDown="false" showErrorMessage="false" showInputMessage="false" sqref="B3" type="list">
      <formula1>$A$9:$A$13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8" min="3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23.85" hidden="false" customHeight="false" outlineLevel="0" collapsed="false">
      <c r="A4" s="6" t="s">
        <v>72</v>
      </c>
      <c r="B4" s="6" t="s">
        <v>12</v>
      </c>
      <c r="C4" s="6" t="s">
        <v>73</v>
      </c>
      <c r="D4" s="6" t="s">
        <v>74</v>
      </c>
      <c r="E4" s="6" t="s">
        <v>75</v>
      </c>
      <c r="F4" s="6" t="s">
        <v>76</v>
      </c>
      <c r="G4" s="6" t="s">
        <v>77</v>
      </c>
      <c r="H4" s="6" t="s">
        <v>15</v>
      </c>
      <c r="I4" s="6" t="s">
        <v>17</v>
      </c>
    </row>
    <row r="5" customFormat="false" ht="15" hidden="false" customHeight="false" outlineLevel="0" collapsed="false">
      <c r="A5" s="0" t="s">
        <v>78</v>
      </c>
      <c r="B5" s="11" t="s">
        <v>37</v>
      </c>
      <c r="C5" s="7" t="n">
        <v>1699959</v>
      </c>
      <c r="D5" s="7" t="n">
        <v>1862520</v>
      </c>
      <c r="E5" s="7" t="n">
        <v>1920338</v>
      </c>
      <c r="F5" s="7" t="n">
        <v>541319</v>
      </c>
      <c r="G5" s="7" t="n">
        <v>568027</v>
      </c>
      <c r="H5" s="8" t="n">
        <f aca="false">E5/D5*100-100</f>
        <v>3.10428881300604</v>
      </c>
      <c r="I5" s="8" t="n">
        <f aca="false">G5/F5*100-100</f>
        <v>4.93387448066667</v>
      </c>
    </row>
    <row r="6" customFormat="false" ht="15" hidden="false" customHeight="false" outlineLevel="0" collapsed="false">
      <c r="A6" s="0" t="s">
        <v>79</v>
      </c>
      <c r="B6" s="11" t="s">
        <v>31</v>
      </c>
      <c r="C6" s="7" t="n">
        <v>103842</v>
      </c>
      <c r="D6" s="7" t="n">
        <v>97768</v>
      </c>
      <c r="E6" s="7" t="n">
        <v>112338</v>
      </c>
      <c r="F6" s="7" t="n">
        <v>25628</v>
      </c>
      <c r="G6" s="7" t="n">
        <v>27954</v>
      </c>
      <c r="H6" s="8" t="n">
        <f aca="false">E6/D6*100-100</f>
        <v>14.902626626299</v>
      </c>
      <c r="I6" s="8" t="n">
        <f aca="false">G6/F6*100-100</f>
        <v>9.0760106133916</v>
      </c>
    </row>
    <row r="7" customFormat="false" ht="15" hidden="false" customHeight="false" outlineLevel="0" collapsed="false">
      <c r="A7" s="0" t="s">
        <v>39</v>
      </c>
      <c r="B7" s="11" t="s">
        <v>39</v>
      </c>
      <c r="C7" s="7" t="n">
        <v>810827</v>
      </c>
      <c r="D7" s="7" t="n">
        <v>874876</v>
      </c>
      <c r="E7" s="7" t="n">
        <v>892166</v>
      </c>
      <c r="F7" s="7" t="n">
        <v>221136</v>
      </c>
      <c r="G7" s="7" t="n">
        <v>230901</v>
      </c>
      <c r="H7" s="8" t="n">
        <f aca="false">E7/D7*100-100</f>
        <v>1.97628006711807</v>
      </c>
      <c r="I7" s="8" t="n">
        <f aca="false">G7/F7*100-100</f>
        <v>4.41583459952246</v>
      </c>
    </row>
    <row r="8" customFormat="false" ht="15" hidden="false" customHeight="false" outlineLevel="0" collapsed="false">
      <c r="A8" s="0" t="s">
        <v>80</v>
      </c>
      <c r="B8" s="11" t="s">
        <v>31</v>
      </c>
      <c r="C8" s="7" t="n">
        <v>231759</v>
      </c>
      <c r="D8" s="7" t="n">
        <v>259182</v>
      </c>
      <c r="E8" s="7" t="n">
        <v>272702</v>
      </c>
      <c r="F8" s="7" t="n">
        <v>65715</v>
      </c>
      <c r="G8" s="7" t="n">
        <v>68571</v>
      </c>
      <c r="H8" s="8" t="n">
        <f aca="false">E8/D8*100-100</f>
        <v>5.21641163352393</v>
      </c>
      <c r="I8" s="8" t="n">
        <f aca="false">G8/F8*100-100</f>
        <v>4.3460397169596</v>
      </c>
    </row>
    <row r="9" customFormat="false" ht="15" hidden="false" customHeight="false" outlineLevel="0" collapsed="false">
      <c r="A9" s="0" t="s">
        <v>81</v>
      </c>
      <c r="B9" s="11" t="s">
        <v>38</v>
      </c>
      <c r="C9" s="7" t="n">
        <v>552764</v>
      </c>
      <c r="D9" s="7" t="n">
        <v>588156</v>
      </c>
      <c r="E9" s="7" t="n">
        <v>628320</v>
      </c>
      <c r="F9" s="7" t="n">
        <v>150281</v>
      </c>
      <c r="G9" s="7" t="n">
        <v>160133</v>
      </c>
      <c r="H9" s="8" t="n">
        <f aca="false">E9/D9*100-100</f>
        <v>6.8288005223104</v>
      </c>
      <c r="I9" s="8" t="n">
        <f aca="false">G9/F9*100-100</f>
        <v>6.55571895316108</v>
      </c>
    </row>
    <row r="10" customFormat="false" ht="15" hidden="false" customHeight="false" outlineLevel="0" collapsed="false">
      <c r="A10" s="0" t="s">
        <v>82</v>
      </c>
      <c r="B10" s="11" t="s">
        <v>36</v>
      </c>
      <c r="C10" s="7" t="n">
        <v>786202</v>
      </c>
      <c r="D10" s="7" t="n">
        <v>874817</v>
      </c>
      <c r="E10" s="7" t="n">
        <v>905941</v>
      </c>
      <c r="F10" s="7" t="n">
        <v>239942</v>
      </c>
      <c r="G10" s="7" t="n">
        <v>249638</v>
      </c>
      <c r="H10" s="8" t="n">
        <f aca="false">E10/D10*100-100</f>
        <v>3.55777265416653</v>
      </c>
      <c r="I10" s="8" t="n">
        <f aca="false">G10/F10*100-100</f>
        <v>4.0409765693376</v>
      </c>
    </row>
    <row r="11" customFormat="false" ht="15" hidden="false" customHeight="false" outlineLevel="0" collapsed="false">
      <c r="A11" s="0" t="s">
        <v>83</v>
      </c>
      <c r="B11" s="11" t="s">
        <v>36</v>
      </c>
      <c r="C11" s="7" t="n">
        <v>81037</v>
      </c>
      <c r="D11" s="7" t="n">
        <v>172785</v>
      </c>
      <c r="E11" s="7" t="n">
        <v>199664</v>
      </c>
      <c r="F11" s="7" t="n">
        <v>47352</v>
      </c>
      <c r="G11" s="7" t="n">
        <v>54331</v>
      </c>
      <c r="H11" s="8" t="n">
        <f aca="false">E11/D11*100-100</f>
        <v>15.5563272274792</v>
      </c>
      <c r="I11" s="8" t="n">
        <f aca="false">G11/F11*100-100</f>
        <v>14.7385538097652</v>
      </c>
    </row>
    <row r="12" customFormat="false" ht="15" hidden="false" customHeight="false" outlineLevel="0" collapsed="false">
      <c r="A12" s="0" t="s">
        <v>84</v>
      </c>
      <c r="B12" s="11" t="s">
        <v>33</v>
      </c>
      <c r="C12" s="7" t="n">
        <v>891983</v>
      </c>
      <c r="D12" s="7" t="n">
        <v>1038796</v>
      </c>
      <c r="E12" s="7" t="n">
        <v>1077187</v>
      </c>
      <c r="F12" s="7" t="n">
        <v>255011</v>
      </c>
      <c r="G12" s="7" t="n">
        <v>264187</v>
      </c>
      <c r="H12" s="8" t="n">
        <f aca="false">E12/D12*100-100</f>
        <v>3.69572081525152</v>
      </c>
      <c r="I12" s="8" t="n">
        <f aca="false">G12/F12*100-100</f>
        <v>3.5982761527934</v>
      </c>
    </row>
    <row r="13" customFormat="false" ht="15" hidden="false" customHeight="false" outlineLevel="0" collapsed="false">
      <c r="A13" s="0" t="s">
        <v>85</v>
      </c>
      <c r="B13" s="11" t="s">
        <v>32</v>
      </c>
      <c r="C13" s="7" t="n">
        <v>290224</v>
      </c>
      <c r="D13" s="7" t="n">
        <v>373860</v>
      </c>
      <c r="E13" s="7" t="n">
        <v>391886</v>
      </c>
      <c r="F13" s="7" t="n">
        <v>96655</v>
      </c>
      <c r="G13" s="7" t="n">
        <v>101463</v>
      </c>
      <c r="H13" s="8" t="n">
        <f aca="false">E13/D13*100-100</f>
        <v>4.82159096988177</v>
      </c>
      <c r="I13" s="8" t="n">
        <f aca="false">G13/F13*100-100</f>
        <v>4.97439346127982</v>
      </c>
    </row>
    <row r="14" customFormat="false" ht="15" hidden="false" customHeight="false" outlineLevel="0" collapsed="false">
      <c r="A14" s="0" t="s">
        <v>86</v>
      </c>
      <c r="B14" s="11" t="s">
        <v>30</v>
      </c>
      <c r="C14" s="7" t="n">
        <v>802964</v>
      </c>
      <c r="D14" s="7" t="n">
        <v>1065163</v>
      </c>
      <c r="E14" s="7" t="n">
        <v>1134626</v>
      </c>
      <c r="F14" s="7" t="n">
        <v>257934</v>
      </c>
      <c r="G14" s="7" t="n">
        <v>274128</v>
      </c>
      <c r="H14" s="8" t="n">
        <f aca="false">E14/D14*100-100</f>
        <v>6.52134931461194</v>
      </c>
      <c r="I14" s="8" t="n">
        <f aca="false">G14/F14*100-100</f>
        <v>6.27835027565192</v>
      </c>
    </row>
    <row r="15" customFormat="false" ht="15" hidden="false" customHeight="false" outlineLevel="0" collapsed="false">
      <c r="A15" s="0" t="s">
        <v>87</v>
      </c>
      <c r="B15" s="11" t="s">
        <v>34</v>
      </c>
      <c r="C15" s="7" t="n">
        <v>564957</v>
      </c>
      <c r="D15" s="7" t="n">
        <v>677991</v>
      </c>
      <c r="E15" s="7" t="n">
        <v>734372</v>
      </c>
      <c r="F15" s="7" t="n">
        <v>174665</v>
      </c>
      <c r="G15" s="7" t="n">
        <v>184616</v>
      </c>
      <c r="H15" s="8" t="n">
        <f aca="false">E15/D15*100-100</f>
        <v>8.31589209886268</v>
      </c>
      <c r="I15" s="8" t="n">
        <f aca="false">G15/F15*100-100</f>
        <v>5.69719176709702</v>
      </c>
    </row>
    <row r="16" customFormat="false" ht="15" hidden="false" customHeight="false" outlineLevel="0" collapsed="false">
      <c r="A16" s="0" t="s">
        <v>88</v>
      </c>
      <c r="B16" s="11" t="s">
        <v>89</v>
      </c>
      <c r="C16" s="7" t="n">
        <v>244148</v>
      </c>
      <c r="D16" s="7" t="n">
        <v>312376</v>
      </c>
      <c r="E16" s="7" t="n">
        <v>328078</v>
      </c>
      <c r="F16" s="7" t="n">
        <v>79636</v>
      </c>
      <c r="G16" s="7" t="n">
        <v>81559</v>
      </c>
      <c r="H16" s="8" t="n">
        <f aca="false">E16/D16*100-100</f>
        <v>5.02663456859682</v>
      </c>
      <c r="I16" s="8" t="n">
        <f aca="false">G16/F16*100-100</f>
        <v>2.41473705359385</v>
      </c>
    </row>
    <row r="17" customFormat="false" ht="15" hidden="false" customHeight="false" outlineLevel="0" collapsed="false">
      <c r="A17" s="0" t="s">
        <v>90</v>
      </c>
      <c r="B17" s="11" t="s">
        <v>38</v>
      </c>
      <c r="C17" s="7" t="n">
        <v>951093</v>
      </c>
      <c r="D17" s="7" t="n">
        <v>1122525</v>
      </c>
      <c r="E17" s="7" t="n">
        <v>1166182</v>
      </c>
      <c r="F17" s="7" t="n">
        <v>288692</v>
      </c>
      <c r="G17" s="7" t="n">
        <v>302993</v>
      </c>
      <c r="H17" s="8" t="n">
        <f aca="false">E17/D17*100-100</f>
        <v>3.88917841473464</v>
      </c>
      <c r="I17" s="8" t="n">
        <f aca="false">G17/F17*100-100</f>
        <v>4.95372230612557</v>
      </c>
    </row>
    <row r="18" customFormat="false" ht="15" hidden="false" customHeight="false" outlineLevel="0" collapsed="false">
      <c r="A18" s="0" t="s">
        <v>91</v>
      </c>
      <c r="B18" s="11" t="s">
        <v>34</v>
      </c>
      <c r="C18" s="7" t="n">
        <v>462227</v>
      </c>
      <c r="D18" s="7" t="n">
        <v>524323</v>
      </c>
      <c r="E18" s="7" t="n">
        <v>539234</v>
      </c>
      <c r="F18" s="7" t="n">
        <v>135755</v>
      </c>
      <c r="G18" s="7" t="n">
        <v>144144</v>
      </c>
      <c r="H18" s="8" t="n">
        <f aca="false">E18/D18*100-100</f>
        <v>2.84385769840347</v>
      </c>
      <c r="I18" s="8" t="n">
        <f aca="false">G18/F18*100-100</f>
        <v>6.17951456668263</v>
      </c>
    </row>
    <row r="19" customFormat="false" ht="15" hidden="false" customHeight="false" outlineLevel="0" collapsed="false">
      <c r="A19" s="0" t="s">
        <v>35</v>
      </c>
      <c r="B19" s="11" t="s">
        <v>35</v>
      </c>
      <c r="C19" s="7" t="n">
        <v>213529</v>
      </c>
      <c r="D19" s="7" t="n">
        <v>244430</v>
      </c>
      <c r="E19" s="7" t="n">
        <v>257935</v>
      </c>
      <c r="F19" s="7" t="n">
        <v>58523</v>
      </c>
      <c r="G19" s="7" t="n">
        <v>61046</v>
      </c>
      <c r="H19" s="8" t="n">
        <f aca="false">E19/D19*100-100</f>
        <v>5.52509921040789</v>
      </c>
      <c r="I19" s="8" t="n">
        <f aca="false">G19/F19*100-100</f>
        <v>4.31112554038585</v>
      </c>
    </row>
    <row r="20" customFormat="false" ht="15" hidden="false" customHeight="false" outlineLevel="0" collapsed="false">
      <c r="A20" s="0" t="s">
        <v>92</v>
      </c>
      <c r="B20" s="11" t="s">
        <v>89</v>
      </c>
      <c r="C20" s="7" t="n">
        <v>197731</v>
      </c>
      <c r="D20" s="7" t="n">
        <v>229550</v>
      </c>
      <c r="E20" s="7" t="n">
        <v>235415</v>
      </c>
      <c r="F20" s="7" t="n">
        <v>55687</v>
      </c>
      <c r="G20" s="7" t="n">
        <v>56880</v>
      </c>
      <c r="H20" s="8" t="n">
        <f aca="false">E20/D20*100-100</f>
        <v>2.55499891091266</v>
      </c>
      <c r="I20" s="8" t="n">
        <f aca="false">G20/F20*100-100</f>
        <v>2.14233124427605</v>
      </c>
    </row>
    <row r="21" customFormat="false" ht="15" hidden="false" customHeight="false" outlineLevel="0" collapsed="false">
      <c r="A21" s="0" t="s">
        <v>93</v>
      </c>
      <c r="B21" s="11" t="s">
        <v>89</v>
      </c>
      <c r="C21" s="7" t="n">
        <v>-287975</v>
      </c>
      <c r="D21" s="7" t="n">
        <v>-325317</v>
      </c>
      <c r="E21" s="7" t="n">
        <v>-325971</v>
      </c>
      <c r="F21" s="7" t="n">
        <v>-80173</v>
      </c>
      <c r="G21" s="7" t="n">
        <v>-76917</v>
      </c>
      <c r="H21" s="8" t="n">
        <f aca="false">E21/D21*100-100</f>
        <v>0.20103468309371</v>
      </c>
      <c r="I21" s="8" t="n">
        <f aca="false">G21/F21*100-100</f>
        <v>-4.06121761690345</v>
      </c>
    </row>
    <row r="22" customFormat="false" ht="15" hidden="false" customHeight="false" outlineLevel="0" collapsed="false">
      <c r="A22" s="4" t="s">
        <v>94</v>
      </c>
      <c r="C22" s="7" t="n">
        <v>8597270</v>
      </c>
      <c r="D22" s="7" t="n">
        <v>9993801</v>
      </c>
      <c r="E22" s="7" t="n">
        <v>10470414</v>
      </c>
      <c r="F22" s="7" t="n">
        <v>2613759</v>
      </c>
      <c r="G22" s="7" t="n">
        <v>2753654</v>
      </c>
    </row>
    <row r="23" customFormat="false" ht="15" hidden="false" customHeight="false" outlineLevel="0" collapsed="false">
      <c r="A23" s="3" t="s">
        <v>95</v>
      </c>
      <c r="C23" s="7" t="n">
        <f aca="false">SUM(C5:C21)</f>
        <v>8597271</v>
      </c>
      <c r="D23" s="7" t="n">
        <f aca="false">SUM(D5:D21)</f>
        <v>9993801</v>
      </c>
      <c r="E23" s="7" t="n">
        <f aca="false">SUM(E5:E21)</f>
        <v>10470413</v>
      </c>
      <c r="F23" s="7" t="n">
        <f aca="false">SUM(F5:F21)</f>
        <v>2613758</v>
      </c>
      <c r="G23" s="7" t="n">
        <f aca="false">SUM(G5:G21)</f>
        <v>2753654</v>
      </c>
    </row>
    <row r="24" customFormat="false" ht="15" hidden="false" customHeight="false" outlineLevel="0" collapsed="false">
      <c r="A24" s="3" t="s">
        <v>96</v>
      </c>
      <c r="C24" s="7" t="n">
        <f aca="false">C22-C23</f>
        <v>-1</v>
      </c>
      <c r="D24" s="7" t="n">
        <f aca="false">D22-D23</f>
        <v>0</v>
      </c>
      <c r="E24" s="7" t="n">
        <f aca="false">E22-E23</f>
        <v>1</v>
      </c>
      <c r="F24" s="7" t="n">
        <f aca="false">F22-F23</f>
        <v>1</v>
      </c>
      <c r="G24" s="7" t="n">
        <f aca="false">G22-G23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23.85" hidden="false" customHeight="false" outlineLevel="0" collapsed="false">
      <c r="A4" s="6" t="s">
        <v>99</v>
      </c>
      <c r="B4" s="6" t="s">
        <v>100</v>
      </c>
      <c r="C4" s="6" t="s">
        <v>101</v>
      </c>
      <c r="D4" s="6" t="s">
        <v>102</v>
      </c>
      <c r="E4" s="6" t="s">
        <v>19</v>
      </c>
      <c r="F4" s="6" t="s">
        <v>103</v>
      </c>
      <c r="G4" s="6" t="s">
        <v>104</v>
      </c>
      <c r="H4" s="6" t="s">
        <v>105</v>
      </c>
      <c r="I4" s="6" t="s">
        <v>106</v>
      </c>
      <c r="J4" s="6" t="s">
        <v>107</v>
      </c>
      <c r="K4" s="6" t="s">
        <v>108</v>
      </c>
      <c r="L4" s="6" t="s">
        <v>109</v>
      </c>
    </row>
    <row r="5" customFormat="false" ht="15" hidden="false" customHeight="false" outlineLevel="0" collapsed="false">
      <c r="A5" s="3" t="s">
        <v>110</v>
      </c>
      <c r="B5" s="7" t="n">
        <v>610882</v>
      </c>
      <c r="C5" s="7" t="n">
        <v>857832.3</v>
      </c>
      <c r="D5" s="7" t="n">
        <v>170564.2</v>
      </c>
      <c r="E5" s="8" t="n">
        <f aca="false">D5/C5*100</f>
        <v>19.8831636439896</v>
      </c>
      <c r="F5" s="11" t="n">
        <v>65</v>
      </c>
      <c r="G5" s="11" t="n">
        <v>30</v>
      </c>
      <c r="H5" s="11" t="n">
        <v>5</v>
      </c>
      <c r="I5" s="11" t="n">
        <v>16</v>
      </c>
      <c r="J5" s="11" t="n">
        <v>29</v>
      </c>
      <c r="K5" s="11" t="n">
        <v>29</v>
      </c>
      <c r="L5" s="11" t="n">
        <v>39</v>
      </c>
    </row>
    <row r="6" customFormat="false" ht="15" hidden="false" customHeight="false" outlineLevel="0" collapsed="false">
      <c r="A6" s="3" t="s">
        <v>90</v>
      </c>
      <c r="B6" s="7" t="n">
        <v>30459</v>
      </c>
      <c r="C6" s="7" t="n">
        <v>511116.3</v>
      </c>
      <c r="D6" s="7" t="n">
        <v>113797.5</v>
      </c>
      <c r="E6" s="8" t="n">
        <f aca="false">D6/C6*100</f>
        <v>22.2645022277709</v>
      </c>
      <c r="F6" s="11" t="n">
        <v>28</v>
      </c>
      <c r="G6" s="11" t="n">
        <v>44</v>
      </c>
      <c r="H6" s="11" t="n">
        <v>28</v>
      </c>
      <c r="I6" s="11" t="n">
        <v>30</v>
      </c>
      <c r="J6" s="11" t="n">
        <v>8</v>
      </c>
      <c r="K6" s="11" t="n">
        <v>27</v>
      </c>
      <c r="L6" s="11" t="n">
        <v>27</v>
      </c>
    </row>
    <row r="7" customFormat="false" ht="15" hidden="false" customHeight="false" outlineLevel="0" collapsed="false">
      <c r="A7" s="3" t="s">
        <v>39</v>
      </c>
      <c r="B7" s="7" t="n">
        <v>34456</v>
      </c>
      <c r="C7" s="7" t="n">
        <v>584989.3</v>
      </c>
      <c r="D7" s="7" t="n">
        <v>107629.6</v>
      </c>
      <c r="E7" s="8" t="n">
        <f aca="false">D7/C7*100</f>
        <v>18.3985587428693</v>
      </c>
      <c r="F7" s="11" t="n">
        <v>41</v>
      </c>
      <c r="G7" s="11" t="n">
        <v>49</v>
      </c>
      <c r="H7" s="11" t="n">
        <v>11</v>
      </c>
      <c r="I7" s="11" t="n">
        <v>13</v>
      </c>
      <c r="J7" s="11" t="n">
        <v>21</v>
      </c>
      <c r="K7" s="11" t="n">
        <v>21</v>
      </c>
      <c r="L7" s="11" t="n">
        <v>34</v>
      </c>
    </row>
    <row r="8" customFormat="false" ht="15" hidden="false" customHeight="false" outlineLevel="0" collapsed="false">
      <c r="A8" s="3" t="s">
        <v>111</v>
      </c>
      <c r="B8" s="7" t="n">
        <v>14849679</v>
      </c>
      <c r="C8" s="7" t="n">
        <v>1176958.3</v>
      </c>
      <c r="D8" s="7" t="n">
        <v>114045.7</v>
      </c>
      <c r="E8" s="8" t="n">
        <f aca="false">D8/C8*100</f>
        <v>9.6898675169715</v>
      </c>
      <c r="F8" s="11" t="n">
        <v>66</v>
      </c>
      <c r="G8" s="11" t="n">
        <v>29</v>
      </c>
      <c r="H8" s="11" t="n">
        <v>6</v>
      </c>
      <c r="I8" s="11" t="n">
        <v>27</v>
      </c>
      <c r="J8" s="11" t="n">
        <v>24</v>
      </c>
      <c r="K8" s="11" t="n">
        <v>35</v>
      </c>
      <c r="L8" s="11" t="n">
        <v>43</v>
      </c>
    </row>
    <row r="9" customFormat="false" ht="15" hidden="false" customHeight="false" outlineLevel="0" collapsed="false">
      <c r="A9" s="3" t="s">
        <v>112</v>
      </c>
      <c r="B9" s="7" t="n">
        <v>17904</v>
      </c>
      <c r="C9" s="7" t="n">
        <v>175519.6</v>
      </c>
      <c r="D9" s="7" t="n">
        <v>51767.8</v>
      </c>
      <c r="E9" s="8" t="n">
        <f aca="false">D9/C9*100</f>
        <v>29.4940280173838</v>
      </c>
      <c r="F9" s="11" t="n">
        <v>42</v>
      </c>
      <c r="G9" s="11" t="n">
        <v>53</v>
      </c>
      <c r="H9" s="11" t="n">
        <v>6</v>
      </c>
      <c r="I9" s="11" t="n">
        <v>16</v>
      </c>
      <c r="J9" s="11" t="n">
        <v>11</v>
      </c>
      <c r="K9" s="11" t="n">
        <v>24</v>
      </c>
      <c r="L9" s="11" t="n">
        <v>41</v>
      </c>
    </row>
    <row r="10" customFormat="false" ht="15" hidden="false" customHeight="false" outlineLevel="0" collapsed="false">
      <c r="A10" s="3" t="s">
        <v>113</v>
      </c>
      <c r="B10" s="7" t="n">
        <v>53357</v>
      </c>
      <c r="C10" s="7" t="n">
        <v>321105.5</v>
      </c>
      <c r="D10" s="7" t="n">
        <v>53180.9</v>
      </c>
      <c r="E10" s="8" t="n">
        <f aca="false">D10/C10*100</f>
        <v>16.5618153535209</v>
      </c>
      <c r="F10" s="11" t="n">
        <v>32</v>
      </c>
      <c r="G10" s="11" t="n">
        <v>43</v>
      </c>
      <c r="H10" s="11" t="n">
        <v>24</v>
      </c>
      <c r="I10" s="11" t="n">
        <v>18</v>
      </c>
      <c r="J10" s="11" t="n">
        <v>11</v>
      </c>
      <c r="K10" s="11" t="n">
        <v>18</v>
      </c>
      <c r="L10" s="11" t="n">
        <v>37</v>
      </c>
    </row>
    <row r="11" customFormat="false" ht="15" hidden="false" customHeight="false" outlineLevel="0" collapsed="false">
      <c r="A11" s="3" t="s">
        <v>78</v>
      </c>
      <c r="B11" s="7" t="n">
        <v>127031</v>
      </c>
      <c r="C11" s="7" t="n">
        <v>197895.5</v>
      </c>
      <c r="D11" s="7" t="n">
        <v>38134.6</v>
      </c>
      <c r="E11" s="8" t="n">
        <f aca="false">D11/C11*100</f>
        <v>19.270069304254</v>
      </c>
      <c r="F11" s="11" t="n">
        <v>35</v>
      </c>
      <c r="G11" s="11" t="n">
        <v>49</v>
      </c>
      <c r="H11" s="11" t="n">
        <v>16</v>
      </c>
      <c r="I11" s="11" t="n">
        <v>13</v>
      </c>
      <c r="J11" s="11" t="n">
        <v>18</v>
      </c>
      <c r="K11" s="11" t="n">
        <v>16</v>
      </c>
      <c r="L11" s="11" t="n">
        <v>29</v>
      </c>
    </row>
    <row r="12" customFormat="false" ht="15" hidden="false" customHeight="false" outlineLevel="0" collapsed="false">
      <c r="A12" s="3" t="s">
        <v>114</v>
      </c>
      <c r="B12" s="7" t="n">
        <v>10902</v>
      </c>
      <c r="C12" s="7" t="n">
        <v>99113.8</v>
      </c>
      <c r="D12" s="7" t="n">
        <v>22657.2</v>
      </c>
      <c r="E12" s="8" t="n">
        <f aca="false">D12/C12*100</f>
        <v>22.8597834004952</v>
      </c>
      <c r="F12" s="11" t="n">
        <v>19</v>
      </c>
      <c r="G12" s="11" t="n">
        <v>56</v>
      </c>
      <c r="H12" s="11" t="n">
        <v>25</v>
      </c>
      <c r="I12" s="11" t="n">
        <v>19</v>
      </c>
      <c r="J12" s="11" t="n">
        <v>8</v>
      </c>
      <c r="K12" s="11" t="n">
        <v>24</v>
      </c>
      <c r="L12" s="11" t="n">
        <v>35</v>
      </c>
    </row>
    <row r="13" customFormat="false" ht="15" hidden="false" customHeight="false" outlineLevel="0" collapsed="false">
      <c r="A13" s="3" t="s">
        <v>115</v>
      </c>
      <c r="B13" s="7" t="n">
        <v>5028</v>
      </c>
      <c r="C13" s="7" t="n">
        <v>142807.6</v>
      </c>
      <c r="D13" s="7" t="n">
        <v>9777.9</v>
      </c>
      <c r="E13" s="8" t="n">
        <f aca="false">D13/C13*100</f>
        <v>6.84690450648285</v>
      </c>
      <c r="F13" s="11" t="n">
        <v>38</v>
      </c>
      <c r="G13" s="11" t="n">
        <v>54</v>
      </c>
      <c r="H13" s="11" t="n">
        <v>8</v>
      </c>
      <c r="I13" s="11" t="n">
        <v>11</v>
      </c>
      <c r="J13" s="11" t="n">
        <v>11</v>
      </c>
      <c r="K13" s="11" t="n">
        <v>19</v>
      </c>
      <c r="L13" s="11" t="n">
        <v>22</v>
      </c>
    </row>
    <row r="14" customFormat="false" ht="15" hidden="false" customHeight="false" outlineLevel="0" collapsed="false">
      <c r="A14" s="3" t="s">
        <v>30</v>
      </c>
      <c r="B14" s="7" t="n">
        <v>18277</v>
      </c>
      <c r="C14" s="7" t="n">
        <v>241698.4</v>
      </c>
      <c r="D14" s="7" t="n">
        <v>7864.2</v>
      </c>
      <c r="E14" s="8" t="n">
        <f aca="false">D14/C14*100</f>
        <v>3.25372447645495</v>
      </c>
      <c r="F14" s="11" t="n">
        <v>38</v>
      </c>
      <c r="G14" s="11" t="n">
        <v>46</v>
      </c>
      <c r="H14" s="11" t="n">
        <v>16</v>
      </c>
      <c r="I14" s="11" t="n">
        <v>11</v>
      </c>
      <c r="J14" s="11" t="n">
        <v>11</v>
      </c>
      <c r="K14" s="11" t="n">
        <v>13</v>
      </c>
      <c r="L14" s="11" t="n">
        <v>34</v>
      </c>
    </row>
    <row r="15" customFormat="false" ht="15" hidden="false" customHeight="false" outlineLevel="0" collapsed="false">
      <c r="A15" s="3" t="s">
        <v>116</v>
      </c>
      <c r="B15" s="7" t="n">
        <v>1133</v>
      </c>
      <c r="C15" s="7" t="n">
        <v>38127.5</v>
      </c>
      <c r="D15" s="7" t="n">
        <v>7511.5</v>
      </c>
      <c r="E15" s="8" t="n">
        <f aca="false">D15/C15*100</f>
        <v>19.7010032129041</v>
      </c>
      <c r="F15" s="11" t="n">
        <v>14</v>
      </c>
      <c r="G15" s="11" t="n">
        <v>84</v>
      </c>
      <c r="H15" s="11" t="n">
        <v>3</v>
      </c>
      <c r="I15" s="11" t="n">
        <v>13</v>
      </c>
      <c r="J15" s="11" t="n">
        <v>5</v>
      </c>
      <c r="K15" s="11" t="n">
        <v>11</v>
      </c>
      <c r="L15" s="11" t="n">
        <v>26</v>
      </c>
    </row>
    <row r="16" customFormat="false" ht="15" hidden="false" customHeight="false" outlineLevel="0" collapsed="false">
      <c r="A16" s="4" t="s">
        <v>65</v>
      </c>
      <c r="B16" s="7" t="n">
        <f aca="false">SUM(B5:B15)</f>
        <v>15759108</v>
      </c>
      <c r="C16" s="7" t="n">
        <f aca="false">SUM(C5:C15)</f>
        <v>4347164.1</v>
      </c>
      <c r="D16" s="7" t="n">
        <f aca="false">SUM(D5:D15)</f>
        <v>696931.1</v>
      </c>
      <c r="E16" s="8" t="n">
        <f aca="false">D16/C16*100</f>
        <v>16.0318562623389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23.85" hidden="false" customHeight="false" outlineLevel="0" collapsed="false">
      <c r="A4" s="6" t="s">
        <v>12</v>
      </c>
      <c r="B4" s="6" t="s">
        <v>99</v>
      </c>
      <c r="C4" s="6" t="s">
        <v>119</v>
      </c>
      <c r="D4" s="6" t="s">
        <v>120</v>
      </c>
      <c r="E4" s="6" t="s">
        <v>121</v>
      </c>
      <c r="F4" s="6" t="s">
        <v>122</v>
      </c>
    </row>
    <row r="5" customFormat="false" ht="15" hidden="false" customHeight="false" outlineLevel="0" collapsed="false">
      <c r="A5" s="11" t="s">
        <v>30</v>
      </c>
      <c r="B5" s="11" t="s">
        <v>30</v>
      </c>
      <c r="C5" s="7" t="n">
        <f aca="false">INDEX(Credit_Raw!$C$5:$C$15,MATCH($B5,Credit_Raw!$A$5:$A$15,0))</f>
        <v>241698.4</v>
      </c>
      <c r="D5" s="7" t="n">
        <f aca="false">INDEX(Credit_Raw!$D$5:$D$15,MATCH($B5,Credit_Raw!$A$5:$A$15,0))</f>
        <v>7864.2</v>
      </c>
      <c r="E5" s="7" t="n">
        <f aca="false">INDEX(Credit_Raw!$F$5:$F$15,MATCH($B5,Credit_Raw!$A$5:$A$15,0))</f>
        <v>38</v>
      </c>
      <c r="F5" s="7" t="n">
        <f aca="false">INDEX(Credit_Raw!$H$5:$H$15,MATCH($B5,Credit_Raw!$A$5:$A$15,0))</f>
        <v>16</v>
      </c>
    </row>
    <row r="6" customFormat="false" ht="15" hidden="false" customHeight="false" outlineLevel="0" collapsed="false">
      <c r="A6" s="11" t="s">
        <v>31</v>
      </c>
      <c r="B6" s="11" t="s">
        <v>115</v>
      </c>
      <c r="C6" s="7" t="n">
        <f aca="false">INDEX(Credit_Raw!$C$5:$C$15,MATCH($B6,Credit_Raw!$A$5:$A$15,0))</f>
        <v>142807.6</v>
      </c>
      <c r="D6" s="7" t="n">
        <f aca="false">INDEX(Credit_Raw!$D$5:$D$15,MATCH($B6,Credit_Raw!$A$5:$A$15,0))</f>
        <v>9777.9</v>
      </c>
      <c r="E6" s="7" t="n">
        <f aca="false">INDEX(Credit_Raw!$F$5:$F$15,MATCH($B6,Credit_Raw!$A$5:$A$15,0))</f>
        <v>38</v>
      </c>
      <c r="F6" s="7" t="n">
        <f aca="false">INDEX(Credit_Raw!$H$5:$H$15,MATCH($B6,Credit_Raw!$A$5:$A$15,0))</f>
        <v>8</v>
      </c>
    </row>
    <row r="7" customFormat="false" ht="15" hidden="false" customHeight="false" outlineLevel="0" collapsed="false">
      <c r="A7" s="11" t="s">
        <v>31</v>
      </c>
      <c r="B7" s="11" t="s">
        <v>116</v>
      </c>
      <c r="C7" s="7" t="n">
        <f aca="false">INDEX(Credit_Raw!$C$5:$C$15,MATCH($B7,Credit_Raw!$A$5:$A$15,0))</f>
        <v>38127.5</v>
      </c>
      <c r="D7" s="7" t="n">
        <f aca="false">INDEX(Credit_Raw!$D$5:$D$15,MATCH($B7,Credit_Raw!$A$5:$A$15,0))</f>
        <v>7511.5</v>
      </c>
      <c r="E7" s="7" t="n">
        <f aca="false">INDEX(Credit_Raw!$F$5:$F$15,MATCH($B7,Credit_Raw!$A$5:$A$15,0))</f>
        <v>14</v>
      </c>
      <c r="F7" s="7" t="n">
        <f aca="false">INDEX(Credit_Raw!$H$5:$H$15,MATCH($B7,Credit_Raw!$A$5:$A$15,0))</f>
        <v>3</v>
      </c>
    </row>
    <row r="8" customFormat="false" ht="15" hidden="false" customHeight="false" outlineLevel="0" collapsed="false">
      <c r="A8" s="11" t="s">
        <v>32</v>
      </c>
      <c r="B8" s="11" t="s">
        <v>113</v>
      </c>
      <c r="C8" s="7" t="n">
        <f aca="false">INDEX(Credit_Raw!$C$5:$C$15,MATCH($B8,Credit_Raw!$A$5:$A$15,0))</f>
        <v>321105.5</v>
      </c>
      <c r="D8" s="7" t="n">
        <f aca="false">INDEX(Credit_Raw!$D$5:$D$15,MATCH($B8,Credit_Raw!$A$5:$A$15,0))</f>
        <v>53180.9</v>
      </c>
      <c r="E8" s="7" t="n">
        <f aca="false">INDEX(Credit_Raw!$F$5:$F$15,MATCH($B8,Credit_Raw!$A$5:$A$15,0))</f>
        <v>32</v>
      </c>
      <c r="F8" s="7" t="n">
        <f aca="false">INDEX(Credit_Raw!$H$5:$H$15,MATCH($B8,Credit_Raw!$A$5:$A$15,0))</f>
        <v>24</v>
      </c>
    </row>
    <row r="9" customFormat="false" ht="15" hidden="false" customHeight="false" outlineLevel="0" collapsed="false">
      <c r="A9" s="11" t="s">
        <v>33</v>
      </c>
      <c r="B9" s="11" t="s">
        <v>113</v>
      </c>
      <c r="C9" s="7" t="n">
        <f aca="false">INDEX(Credit_Raw!$C$5:$C$15,MATCH($B9,Credit_Raw!$A$5:$A$15,0))</f>
        <v>321105.5</v>
      </c>
      <c r="D9" s="7" t="n">
        <f aca="false">INDEX(Credit_Raw!$D$5:$D$15,MATCH($B9,Credit_Raw!$A$5:$A$15,0))</f>
        <v>53180.9</v>
      </c>
      <c r="E9" s="7" t="n">
        <f aca="false">INDEX(Credit_Raw!$F$5:$F$15,MATCH($B9,Credit_Raw!$A$5:$A$15,0))</f>
        <v>32</v>
      </c>
      <c r="F9" s="7" t="n">
        <f aca="false">INDEX(Credit_Raw!$H$5:$H$15,MATCH($B9,Credit_Raw!$A$5:$A$15,0))</f>
        <v>24</v>
      </c>
    </row>
    <row r="10" customFormat="false" ht="15" hidden="false" customHeight="false" outlineLevel="0" collapsed="false">
      <c r="A10" s="11" t="s">
        <v>36</v>
      </c>
      <c r="B10" s="11" t="s">
        <v>110</v>
      </c>
      <c r="C10" s="7" t="n">
        <f aca="false">INDEX(Credit_Raw!$C$5:$C$15,MATCH($B10,Credit_Raw!$A$5:$A$15,0))</f>
        <v>857832.3</v>
      </c>
      <c r="D10" s="7" t="n">
        <f aca="false">INDEX(Credit_Raw!$D$5:$D$15,MATCH($B10,Credit_Raw!$A$5:$A$15,0))</f>
        <v>170564.2</v>
      </c>
      <c r="E10" s="7" t="n">
        <f aca="false">INDEX(Credit_Raw!$F$5:$F$15,MATCH($B10,Credit_Raw!$A$5:$A$15,0))</f>
        <v>65</v>
      </c>
      <c r="F10" s="7" t="n">
        <f aca="false">INDEX(Credit_Raw!$H$5:$H$15,MATCH($B10,Credit_Raw!$A$5:$A$15,0))</f>
        <v>5</v>
      </c>
    </row>
    <row r="11" customFormat="false" ht="15" hidden="false" customHeight="false" outlineLevel="0" collapsed="false">
      <c r="A11" s="11" t="s">
        <v>36</v>
      </c>
      <c r="B11" s="11" t="s">
        <v>114</v>
      </c>
      <c r="C11" s="7" t="n">
        <f aca="false">INDEX(Credit_Raw!$C$5:$C$15,MATCH($B11,Credit_Raw!$A$5:$A$15,0))</f>
        <v>99113.8</v>
      </c>
      <c r="D11" s="7" t="n">
        <f aca="false">INDEX(Credit_Raw!$D$5:$D$15,MATCH($B11,Credit_Raw!$A$5:$A$15,0))</f>
        <v>22657.2</v>
      </c>
      <c r="E11" s="7" t="n">
        <f aca="false">INDEX(Credit_Raw!$F$5:$F$15,MATCH($B11,Credit_Raw!$A$5:$A$15,0))</f>
        <v>19</v>
      </c>
      <c r="F11" s="7" t="n">
        <f aca="false">INDEX(Credit_Raw!$H$5:$H$15,MATCH($B11,Credit_Raw!$A$5:$A$15,0))</f>
        <v>25</v>
      </c>
    </row>
    <row r="12" customFormat="false" ht="15" hidden="false" customHeight="false" outlineLevel="0" collapsed="false">
      <c r="A12" s="11" t="s">
        <v>37</v>
      </c>
      <c r="B12" s="11" t="s">
        <v>78</v>
      </c>
      <c r="C12" s="7" t="n">
        <f aca="false">INDEX(Credit_Raw!$C$5:$C$15,MATCH($B12,Credit_Raw!$A$5:$A$15,0))</f>
        <v>197895.5</v>
      </c>
      <c r="D12" s="7" t="n">
        <f aca="false">INDEX(Credit_Raw!$D$5:$D$15,MATCH($B12,Credit_Raw!$A$5:$A$15,0))</f>
        <v>38134.6</v>
      </c>
      <c r="E12" s="7" t="n">
        <f aca="false">INDEX(Credit_Raw!$F$5:$F$15,MATCH($B12,Credit_Raw!$A$5:$A$15,0))</f>
        <v>35</v>
      </c>
      <c r="F12" s="7" t="n">
        <f aca="false">INDEX(Credit_Raw!$H$5:$H$15,MATCH($B12,Credit_Raw!$A$5:$A$15,0))</f>
        <v>16</v>
      </c>
    </row>
    <row r="13" customFormat="false" ht="15" hidden="false" customHeight="false" outlineLevel="0" collapsed="false">
      <c r="A13" s="11" t="s">
        <v>38</v>
      </c>
      <c r="B13" s="11" t="s">
        <v>90</v>
      </c>
      <c r="C13" s="7" t="n">
        <f aca="false">INDEX(Credit_Raw!$C$5:$C$15,MATCH($B13,Credit_Raw!$A$5:$A$15,0))</f>
        <v>511116.3</v>
      </c>
      <c r="D13" s="7" t="n">
        <f aca="false">INDEX(Credit_Raw!$D$5:$D$15,MATCH($B13,Credit_Raw!$A$5:$A$15,0))</f>
        <v>113797.5</v>
      </c>
      <c r="E13" s="7" t="n">
        <f aca="false">INDEX(Credit_Raw!$F$5:$F$15,MATCH($B13,Credit_Raw!$A$5:$A$15,0))</f>
        <v>28</v>
      </c>
      <c r="F13" s="7" t="n">
        <f aca="false">INDEX(Credit_Raw!$H$5:$H$15,MATCH($B13,Credit_Raw!$A$5:$A$15,0))</f>
        <v>28</v>
      </c>
    </row>
    <row r="14" customFormat="false" ht="15" hidden="false" customHeight="false" outlineLevel="0" collapsed="false">
      <c r="A14" s="11" t="s">
        <v>38</v>
      </c>
      <c r="B14" s="11" t="s">
        <v>112</v>
      </c>
      <c r="C14" s="7" t="n">
        <f aca="false">INDEX(Credit_Raw!$C$5:$C$15,MATCH($B14,Credit_Raw!$A$5:$A$15,0))</f>
        <v>175519.6</v>
      </c>
      <c r="D14" s="7" t="n">
        <f aca="false">INDEX(Credit_Raw!$D$5:$D$15,MATCH($B14,Credit_Raw!$A$5:$A$15,0))</f>
        <v>51767.8</v>
      </c>
      <c r="E14" s="7" t="n">
        <f aca="false">INDEX(Credit_Raw!$F$5:$F$15,MATCH($B14,Credit_Raw!$A$5:$A$15,0))</f>
        <v>42</v>
      </c>
      <c r="F14" s="7" t="n">
        <f aca="false">INDEX(Credit_Raw!$H$5:$H$15,MATCH($B14,Credit_Raw!$A$5:$A$15,0))</f>
        <v>6</v>
      </c>
    </row>
    <row r="15" customFormat="false" ht="15" hidden="false" customHeight="false" outlineLevel="0" collapsed="false">
      <c r="A15" s="11" t="s">
        <v>39</v>
      </c>
      <c r="B15" s="11" t="s">
        <v>39</v>
      </c>
      <c r="C15" s="7" t="n">
        <f aca="false">INDEX(Credit_Raw!$C$5:$C$15,MATCH($B15,Credit_Raw!$A$5:$A$15,0))</f>
        <v>584989.3</v>
      </c>
      <c r="D15" s="7" t="n">
        <f aca="false">INDEX(Credit_Raw!$D$5:$D$15,MATCH($B15,Credit_Raw!$A$5:$A$15,0))</f>
        <v>107629.6</v>
      </c>
      <c r="E15" s="7" t="n">
        <f aca="false">INDEX(Credit_Raw!$F$5:$F$15,MATCH($B15,Credit_Raw!$A$5:$A$15,0))</f>
        <v>41</v>
      </c>
      <c r="F15" s="7" t="n">
        <f aca="false">INDEX(Credit_Raw!$H$5:$H$15,MATCH($B15,Credit_Raw!$A$5:$A$15,0))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23.85" hidden="false" customHeight="false" outlineLevel="0" collapsed="false">
      <c r="A4" s="6" t="s">
        <v>125</v>
      </c>
      <c r="B4" s="6" t="s">
        <v>126</v>
      </c>
      <c r="C4" s="6" t="s">
        <v>127</v>
      </c>
      <c r="D4" s="6" t="s">
        <v>128</v>
      </c>
      <c r="E4" s="6" t="s">
        <v>129</v>
      </c>
      <c r="F4" s="6" t="s">
        <v>130</v>
      </c>
      <c r="G4" s="6" t="s">
        <v>131</v>
      </c>
      <c r="H4" s="6" t="s">
        <v>15</v>
      </c>
      <c r="I4" s="6" t="s">
        <v>16</v>
      </c>
    </row>
    <row r="5" customFormat="false" ht="15" hidden="false" customHeight="false" outlineLevel="0" collapsed="false">
      <c r="A5" s="0" t="s">
        <v>132</v>
      </c>
      <c r="B5" s="0" t="s">
        <v>133</v>
      </c>
      <c r="C5" s="12" t="n">
        <v>12027661.5</v>
      </c>
      <c r="D5" s="12" t="n">
        <v>13489641.5</v>
      </c>
      <c r="E5" s="12" t="n">
        <v>15033610</v>
      </c>
      <c r="F5" s="12" t="n">
        <v>16232294.8</v>
      </c>
      <c r="G5" s="12" t="n">
        <v>17577557.2</v>
      </c>
      <c r="H5" s="8" t="n">
        <f aca="false">G5/F5*100-100</f>
        <v>8.28756757177671</v>
      </c>
      <c r="I5" s="8" t="n">
        <f aca="false">((G5/C5)^(1/4)-1)*100</f>
        <v>9.94977139033282</v>
      </c>
    </row>
    <row r="6" customFormat="false" ht="15" hidden="false" customHeight="false" outlineLevel="0" collapsed="false">
      <c r="A6" s="0" t="s">
        <v>134</v>
      </c>
      <c r="B6" s="0" t="s">
        <v>133</v>
      </c>
      <c r="C6" s="12" t="n">
        <v>4689439</v>
      </c>
      <c r="D6" s="12" t="n">
        <v>5042419</v>
      </c>
      <c r="E6" s="12" t="n">
        <v>6044533</v>
      </c>
      <c r="F6" s="12" t="n">
        <v>6048537</v>
      </c>
      <c r="G6" s="12" t="n">
        <v>6731191</v>
      </c>
      <c r="H6" s="8" t="n">
        <f aca="false">G6/F6*100-100</f>
        <v>11.2862664145065</v>
      </c>
      <c r="I6" s="8" t="n">
        <f aca="false">((G6/C6)^(1/4)-1)*100</f>
        <v>9.45680213960081</v>
      </c>
    </row>
    <row r="7" customFormat="false" ht="15" hidden="false" customHeight="false" outlineLevel="0" collapsed="false">
      <c r="A7" s="0" t="s">
        <v>135</v>
      </c>
      <c r="B7" s="0" t="s">
        <v>133</v>
      </c>
      <c r="C7" s="12" t="n">
        <v>5566513</v>
      </c>
      <c r="D7" s="12" t="n">
        <v>6246348</v>
      </c>
      <c r="E7" s="12" t="n">
        <v>7041087</v>
      </c>
      <c r="F7" s="12" t="n">
        <v>7140299</v>
      </c>
      <c r="G7" s="12" t="n">
        <v>7862296</v>
      </c>
      <c r="H7" s="8" t="n">
        <f aca="false">G7/F7*100-100</f>
        <v>10.1115793610324</v>
      </c>
      <c r="I7" s="8" t="n">
        <f aca="false">((G7/C7)^(1/4)-1)*100</f>
        <v>9.01632574910145</v>
      </c>
    </row>
    <row r="8" customFormat="false" ht="15" hidden="false" customHeight="false" outlineLevel="0" collapsed="false">
      <c r="A8" s="0" t="s">
        <v>136</v>
      </c>
      <c r="B8" s="0" t="s">
        <v>137</v>
      </c>
      <c r="C8" s="12" t="n">
        <v>537.8</v>
      </c>
      <c r="D8" s="12" t="n">
        <v>535</v>
      </c>
      <c r="E8" s="12" t="n">
        <v>570.3</v>
      </c>
      <c r="F8" s="12" t="n">
        <v>598.5</v>
      </c>
      <c r="G8" s="12" t="n">
        <v>550.4</v>
      </c>
      <c r="H8" s="8" t="n">
        <f aca="false">G8/F8*100-100</f>
        <v>-8.03675856307436</v>
      </c>
      <c r="I8" s="8" t="n">
        <f aca="false">((G8/C8)^(1/4)-1)*100</f>
        <v>0.580642802835985</v>
      </c>
    </row>
    <row r="9" customFormat="false" ht="15" hidden="false" customHeight="false" outlineLevel="0" collapsed="false">
      <c r="A9" s="0" t="s">
        <v>138</v>
      </c>
      <c r="B9" s="0" t="s">
        <v>137</v>
      </c>
      <c r="C9" s="12" t="n">
        <v>405.5</v>
      </c>
      <c r="D9" s="12" t="n">
        <v>391.5</v>
      </c>
      <c r="E9" s="12" t="n">
        <v>468.4</v>
      </c>
      <c r="F9" s="12" t="n">
        <v>402.2</v>
      </c>
      <c r="G9" s="12" t="n">
        <v>457.9</v>
      </c>
      <c r="H9" s="8" t="n">
        <f aca="false">G9/F9*100-100</f>
        <v>13.8488314271507</v>
      </c>
      <c r="I9" s="8" t="n">
        <f aca="false">((G9/C9)^(1/4)-1)*100</f>
        <v>3.08487443146024</v>
      </c>
    </row>
    <row r="10" customFormat="false" ht="15" hidden="false" customHeight="false" outlineLevel="0" collapsed="false">
      <c r="A10" s="0" t="s">
        <v>139</v>
      </c>
      <c r="B10" s="0" t="s">
        <v>140</v>
      </c>
      <c r="C10" s="12" t="n">
        <v>801.9</v>
      </c>
      <c r="D10" s="12" t="n">
        <v>755.3</v>
      </c>
      <c r="E10" s="12" t="n">
        <v>810.8</v>
      </c>
      <c r="F10" s="12" t="n">
        <v>909</v>
      </c>
      <c r="G10" s="12" t="n">
        <v>1013.7</v>
      </c>
      <c r="H10" s="8" t="n">
        <f aca="false">G10/F10*100-100</f>
        <v>11.5181518151815</v>
      </c>
      <c r="I10" s="8" t="n">
        <f aca="false">((G10/C10)^(1/4)-1)*100</f>
        <v>6.03452818144781</v>
      </c>
    </row>
    <row r="11" customFormat="false" ht="15" hidden="false" customHeight="false" outlineLevel="0" collapsed="false">
      <c r="A11" s="0" t="s">
        <v>141</v>
      </c>
      <c r="B11" s="0" t="s">
        <v>133</v>
      </c>
      <c r="C11" s="12" t="n">
        <v>2700161.2</v>
      </c>
      <c r="D11" s="12" t="n">
        <v>3168615</v>
      </c>
      <c r="E11" s="12" t="n">
        <v>3511497.7</v>
      </c>
      <c r="F11" s="12" t="n">
        <v>3689334.1</v>
      </c>
      <c r="G11" s="12" t="n">
        <v>3817390.6</v>
      </c>
      <c r="H11" s="8" t="n">
        <f aca="false">G11/F11*100-100</f>
        <v>3.47099223136229</v>
      </c>
      <c r="I11" s="8" t="n">
        <f aca="false">((G11/C11)^(1/4)-1)*100</f>
        <v>9.0421050284988</v>
      </c>
    </row>
    <row r="12" customFormat="false" ht="15" hidden="false" customHeight="false" outlineLevel="0" collapsed="false">
      <c r="A12" s="0" t="s">
        <v>142</v>
      </c>
      <c r="B12" s="0" t="s">
        <v>133</v>
      </c>
      <c r="C12" s="12" t="n">
        <v>1821644</v>
      </c>
      <c r="D12" s="12" t="n">
        <v>2042781.5</v>
      </c>
      <c r="E12" s="12" t="n">
        <v>2119786.8</v>
      </c>
      <c r="F12" s="12" t="n">
        <v>2171266</v>
      </c>
      <c r="G12" s="12" t="n">
        <v>2374337.8</v>
      </c>
      <c r="H12" s="8" t="n">
        <f aca="false">G12/F12*100-100</f>
        <v>9.35269101068224</v>
      </c>
      <c r="I12" s="8" t="n">
        <f aca="false">((G12/C12)^(1/4)-1)*100</f>
        <v>6.84882477353994</v>
      </c>
    </row>
    <row r="13" customFormat="false" ht="15" hidden="false" customHeight="false" outlineLevel="0" collapsed="false">
      <c r="A13" s="0" t="s">
        <v>143</v>
      </c>
      <c r="B13" s="0" t="s">
        <v>137</v>
      </c>
      <c r="C13" s="12" t="n">
        <v>9098.4</v>
      </c>
      <c r="D13" s="12" t="n">
        <v>9456.8</v>
      </c>
      <c r="E13" s="12" t="n">
        <v>9195.8</v>
      </c>
      <c r="F13" s="12" t="n">
        <v>8542.7</v>
      </c>
      <c r="G13" s="12" t="n">
        <v>10280.2</v>
      </c>
      <c r="H13" s="8" t="n">
        <f aca="false">G13/F13*100-100</f>
        <v>20.3390028913575</v>
      </c>
      <c r="I13" s="8" t="n">
        <f aca="false">((G13/C13)^(1/4)-1)*100</f>
        <v>3.10011137546664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12" t="n">
        <v>9565.4</v>
      </c>
      <c r="D14" s="12" t="n">
        <v>10008.4</v>
      </c>
      <c r="E14" s="12" t="n">
        <v>10320.6</v>
      </c>
      <c r="F14" s="12" t="n">
        <v>10751.7</v>
      </c>
      <c r="G14" s="12" t="n">
        <v>11785.5</v>
      </c>
      <c r="H14" s="8" t="n">
        <f aca="false">G14/F14*100-100</f>
        <v>9.61522363905243</v>
      </c>
      <c r="I14" s="8" t="n">
        <f aca="false">((G14/C14)^(1/4)-1)*100</f>
        <v>5.3564719573594</v>
      </c>
    </row>
    <row r="15" customFormat="false" ht="15" hidden="false" customHeight="false" outlineLevel="0" collapsed="false">
      <c r="A15" s="0" t="s">
        <v>146</v>
      </c>
      <c r="B15" s="0" t="s">
        <v>137</v>
      </c>
      <c r="C15" s="12" t="n">
        <v>6051</v>
      </c>
      <c r="D15" s="12" t="n">
        <v>6877</v>
      </c>
      <c r="E15" s="12" t="n">
        <v>7534</v>
      </c>
      <c r="F15" s="12" t="n">
        <v>7560</v>
      </c>
      <c r="G15" s="12" t="n">
        <v>8415</v>
      </c>
      <c r="H15" s="8" t="n">
        <f aca="false">G15/F15*100-100</f>
        <v>11.3095238095238</v>
      </c>
      <c r="I15" s="8" t="n">
        <f aca="false">((G15/C15)^(1/4)-1)*100</f>
        <v>8.59422789929412</v>
      </c>
    </row>
    <row r="16" customFormat="false" ht="15" hidden="false" customHeight="false" outlineLevel="0" collapsed="false">
      <c r="A16" s="0" t="s">
        <v>147</v>
      </c>
      <c r="B16" s="0" t="s">
        <v>148</v>
      </c>
      <c r="C16" s="12" t="n">
        <v>6703.5</v>
      </c>
      <c r="D16" s="12" t="n">
        <v>10238.6</v>
      </c>
      <c r="E16" s="12" t="n">
        <v>12205.8</v>
      </c>
      <c r="F16" s="12" t="n">
        <v>12831.8</v>
      </c>
      <c r="G16" s="12" t="n">
        <v>12676.6</v>
      </c>
      <c r="H16" s="8" t="n">
        <f aca="false">G16/F16*100-100</f>
        <v>-1.20949516046073</v>
      </c>
      <c r="I16" s="8" t="n">
        <f aca="false">((G16/C16)^(1/4)-1)*100</f>
        <v>17.2668591484391</v>
      </c>
    </row>
    <row r="17" customFormat="false" ht="15" hidden="false" customHeight="false" outlineLevel="0" collapsed="false">
      <c r="A17" s="0" t="s">
        <v>149</v>
      </c>
      <c r="B17" s="0" t="s">
        <v>148</v>
      </c>
      <c r="C17" s="12" t="n">
        <v>65085</v>
      </c>
      <c r="D17" s="12" t="n">
        <v>65737.2</v>
      </c>
      <c r="E17" s="12" t="n">
        <v>66745.7</v>
      </c>
      <c r="F17" s="12" t="n">
        <v>71375.1</v>
      </c>
      <c r="G17" s="12" t="n">
        <v>78390.4</v>
      </c>
      <c r="H17" s="8" t="n">
        <f aca="false">G17/F17*100-100</f>
        <v>9.82877782307834</v>
      </c>
      <c r="I17" s="8" t="n">
        <f aca="false">((G17/C17)^(1/4)-1)*100</f>
        <v>4.76000074262215</v>
      </c>
    </row>
    <row r="18" customFormat="false" ht="15" hidden="false" customHeight="false" outlineLevel="0" collapsed="false">
      <c r="A18" s="0" t="s">
        <v>150</v>
      </c>
      <c r="B18" s="0" t="s">
        <v>151</v>
      </c>
      <c r="C18" s="12" t="n">
        <v>6868.8</v>
      </c>
      <c r="D18" s="12" t="n">
        <v>7908.8</v>
      </c>
      <c r="E18" s="12" t="n">
        <v>7953.9</v>
      </c>
      <c r="F18" s="12" t="n">
        <v>8697.7</v>
      </c>
      <c r="G18" s="12" t="n">
        <v>8236.5</v>
      </c>
      <c r="H18" s="8" t="n">
        <f aca="false">G18/F18*100-100</f>
        <v>-5.30255124918084</v>
      </c>
      <c r="I18" s="8" t="n">
        <f aca="false">((G18/C18)^(1/4)-1)*100</f>
        <v>4.64427125740869</v>
      </c>
    </row>
    <row r="19" customFormat="false" ht="15" hidden="false" customHeight="false" outlineLevel="0" collapsed="false">
      <c r="A19" s="0" t="s">
        <v>152</v>
      </c>
      <c r="B19" s="0" t="s">
        <v>148</v>
      </c>
      <c r="C19" s="12" t="n">
        <v>2906.1</v>
      </c>
      <c r="D19" s="12" t="n">
        <v>3015.3</v>
      </c>
      <c r="E19" s="12" t="n">
        <v>3138.3</v>
      </c>
      <c r="F19" s="12" t="n">
        <v>3213.8</v>
      </c>
      <c r="G19" s="12" t="n">
        <v>3315</v>
      </c>
      <c r="H19" s="8" t="n">
        <f aca="false">G19/F19*100-100</f>
        <v>3.14892028128695</v>
      </c>
      <c r="I19" s="8" t="n">
        <f aca="false">((G19/C19)^(1/4)-1)*100</f>
        <v>3.34589829974412</v>
      </c>
    </row>
    <row r="20" customFormat="false" ht="15" hidden="false" customHeight="false" outlineLevel="0" collapsed="false">
      <c r="A20" s="0" t="s">
        <v>153</v>
      </c>
      <c r="B20" s="0" t="s">
        <v>148</v>
      </c>
      <c r="C20" s="12" t="n">
        <v>562</v>
      </c>
      <c r="D20" s="12" t="n">
        <v>562.9</v>
      </c>
      <c r="E20" s="12" t="n">
        <v>579</v>
      </c>
      <c r="F20" s="12" t="n">
        <v>624.6</v>
      </c>
      <c r="G20" s="12" t="n">
        <v>722.5</v>
      </c>
      <c r="H20" s="8" t="n">
        <f aca="false">G20/F20*100-100</f>
        <v>15.6740313800833</v>
      </c>
      <c r="I20" s="8" t="n">
        <f aca="false">((G20/C20)^(1/4)-1)*100</f>
        <v>6.48179999833034</v>
      </c>
    </row>
    <row r="21" customFormat="false" ht="15" hidden="false" customHeight="false" outlineLevel="0" collapsed="false">
      <c r="A21" s="0" t="s">
        <v>154</v>
      </c>
      <c r="B21" s="0" t="s">
        <v>155</v>
      </c>
      <c r="C21" s="12" t="n">
        <v>9298</v>
      </c>
      <c r="D21" s="12" t="n">
        <v>16000</v>
      </c>
      <c r="E21" s="12" t="n">
        <v>16731</v>
      </c>
      <c r="F21" s="12" t="n">
        <v>17698</v>
      </c>
      <c r="G21" s="12" t="n">
        <v>18561</v>
      </c>
      <c r="H21" s="8" t="n">
        <f aca="false">G21/F21*100-100</f>
        <v>4.87625720420385</v>
      </c>
      <c r="I21" s="8" t="n">
        <f aca="false">((G21/C21)^(1/4)-1)*100</f>
        <v>18.864716046712</v>
      </c>
    </row>
    <row r="22" customFormat="false" ht="15" hidden="false" customHeight="false" outlineLevel="0" collapsed="false">
      <c r="A22" s="0" t="s">
        <v>156</v>
      </c>
      <c r="B22" s="0" t="s">
        <v>133</v>
      </c>
      <c r="C22" s="12" t="n">
        <v>2230838.9</v>
      </c>
      <c r="D22" s="12" t="n">
        <v>2323231.6</v>
      </c>
      <c r="E22" s="12" t="n">
        <v>2724698.9</v>
      </c>
      <c r="F22" s="12" t="n">
        <v>2926871</v>
      </c>
      <c r="G22" s="12" t="n">
        <v>3382974.7</v>
      </c>
      <c r="H22" s="8" t="n">
        <f aca="false">G22/F22*100-100</f>
        <v>15.5833208911496</v>
      </c>
      <c r="I22" s="8" t="n">
        <f aca="false">((G22/C22)^(1/4)-1)*100</f>
        <v>10.9705236140688</v>
      </c>
    </row>
    <row r="23" customFormat="false" ht="15" hidden="false" customHeight="false" outlineLevel="0" collapsed="false">
      <c r="A23" s="0" t="s">
        <v>157</v>
      </c>
      <c r="B23" s="0" t="s">
        <v>133</v>
      </c>
      <c r="C23" s="12" t="n">
        <v>3027518</v>
      </c>
      <c r="D23" s="12" t="n">
        <v>3218186.9</v>
      </c>
      <c r="E23" s="12" t="n">
        <v>3605209.1</v>
      </c>
      <c r="F23" s="12" t="n">
        <v>4077992.4</v>
      </c>
      <c r="G23" s="12" t="n">
        <v>4269579.8</v>
      </c>
      <c r="H23" s="8" t="n">
        <f aca="false">G23/F23*100-100</f>
        <v>4.69808134022026</v>
      </c>
      <c r="I23" s="8" t="n">
        <f aca="false">((G23/C23)^(1/4)-1)*100</f>
        <v>8.97442854835591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158</v>
      </c>
    </row>
    <row r="3" customFormat="false" ht="35.05" hidden="false" customHeight="false" outlineLevel="0" collapsed="false">
      <c r="A3" s="6" t="s">
        <v>159</v>
      </c>
      <c r="B3" s="6" t="s">
        <v>160</v>
      </c>
      <c r="C3" s="6" t="s">
        <v>161</v>
      </c>
      <c r="D3" s="6" t="s">
        <v>162</v>
      </c>
      <c r="E3" s="6" t="s">
        <v>163</v>
      </c>
      <c r="F3" s="6" t="s">
        <v>164</v>
      </c>
      <c r="G3" s="6" t="s">
        <v>165</v>
      </c>
      <c r="H3" s="6" t="s">
        <v>166</v>
      </c>
      <c r="I3" s="6" t="s">
        <v>167</v>
      </c>
      <c r="J3" s="6" t="s">
        <v>168</v>
      </c>
      <c r="K3" s="6" t="s">
        <v>169</v>
      </c>
      <c r="L3" s="6" t="s">
        <v>170</v>
      </c>
      <c r="M3" s="6" t="s">
        <v>171</v>
      </c>
      <c r="N3" s="6" t="s">
        <v>172</v>
      </c>
      <c r="O3" s="6" t="s">
        <v>173</v>
      </c>
      <c r="P3" s="6" t="s">
        <v>174</v>
      </c>
      <c r="Q3" s="6" t="s">
        <v>175</v>
      </c>
      <c r="R3" s="6" t="s">
        <v>176</v>
      </c>
      <c r="S3" s="6" t="s">
        <v>177</v>
      </c>
    </row>
    <row r="4" customFormat="false" ht="15" hidden="false" customHeight="false" outlineLevel="0" collapsed="false">
      <c r="A4" s="0" t="s">
        <v>30</v>
      </c>
      <c r="B4" s="0" t="n">
        <v>1134626</v>
      </c>
      <c r="C4" s="0" t="n">
        <v>10.8364960545018</v>
      </c>
      <c r="D4" s="0" t="n">
        <v>6.52134931461195</v>
      </c>
      <c r="E4" s="0" t="n">
        <v>9.02828083431253</v>
      </c>
      <c r="F4" s="0" t="n">
        <v>6.27835027565191</v>
      </c>
      <c r="G4" s="0" t="n">
        <v>241698.4</v>
      </c>
      <c r="H4" s="0" t="n">
        <v>3.25372447645495</v>
      </c>
      <c r="I4" s="0" t="n">
        <v>22</v>
      </c>
      <c r="J4" s="0" t="n">
        <v>76.7468772802063</v>
      </c>
      <c r="K4" s="0" t="n">
        <v>81.4732402619863</v>
      </c>
      <c r="L4" s="0" t="n">
        <v>80.1969764692647</v>
      </c>
      <c r="M4" s="0" t="n">
        <v>68.3810690148147</v>
      </c>
      <c r="N4" s="0" t="n">
        <v>76.7468772802063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</row>
    <row r="5" customFormat="false" ht="15" hidden="false" customHeight="false" outlineLevel="0" collapsed="false">
      <c r="A5" s="0" t="s">
        <v>31</v>
      </c>
      <c r="B5" s="0" t="n">
        <v>385040</v>
      </c>
      <c r="C5" s="0" t="n">
        <v>3.67740950835373</v>
      </c>
      <c r="D5" s="0" t="n">
        <v>7.86944950273147</v>
      </c>
      <c r="E5" s="0" t="n">
        <v>3.49530544477357</v>
      </c>
      <c r="F5" s="0" t="n">
        <v>5.67312218779765</v>
      </c>
      <c r="G5" s="0" t="n">
        <v>180935.1</v>
      </c>
      <c r="H5" s="0" t="n">
        <v>9.55558097903613</v>
      </c>
      <c r="I5" s="0" t="n">
        <v>25.9962301399784</v>
      </c>
      <c r="J5" s="0" t="n">
        <v>45.2536344223971</v>
      </c>
      <c r="K5" s="0" t="n">
        <v>46.8808178201385</v>
      </c>
      <c r="L5" s="0" t="n">
        <v>48.6627677156428</v>
      </c>
      <c r="M5" s="0" t="n">
        <v>33.1272249814623</v>
      </c>
      <c r="N5" s="0" t="n">
        <v>42.1971719343422</v>
      </c>
      <c r="O5" s="0" t="n">
        <v>4</v>
      </c>
      <c r="P5" s="0" t="n">
        <v>4</v>
      </c>
      <c r="Q5" s="0" t="n">
        <v>4</v>
      </c>
      <c r="R5" s="0" t="n">
        <v>7</v>
      </c>
      <c r="S5" s="0" t="n">
        <v>4</v>
      </c>
    </row>
    <row r="6" customFormat="false" ht="15" hidden="false" customHeight="false" outlineLevel="0" collapsed="false">
      <c r="A6" s="0" t="s">
        <v>32</v>
      </c>
      <c r="B6" s="0" t="n">
        <v>391886</v>
      </c>
      <c r="C6" s="0" t="n">
        <v>3.74279374244419</v>
      </c>
      <c r="D6" s="0" t="n">
        <v>4.82159096988177</v>
      </c>
      <c r="E6" s="0" t="n">
        <v>7.79698305994461</v>
      </c>
      <c r="F6" s="0" t="n">
        <v>4.97439346127981</v>
      </c>
      <c r="G6" s="0" t="n">
        <v>321105.5</v>
      </c>
      <c r="H6" s="0" t="n">
        <v>16.5618153535209</v>
      </c>
      <c r="I6" s="0" t="n">
        <v>8</v>
      </c>
      <c r="J6" s="0" t="n">
        <v>33.8935717123099</v>
      </c>
      <c r="K6" s="0" t="n">
        <v>42.7396052375118</v>
      </c>
      <c r="L6" s="0" t="n">
        <v>31.9302357299266</v>
      </c>
      <c r="M6" s="0" t="n">
        <v>24.8948598993652</v>
      </c>
      <c r="N6" s="0" t="n">
        <v>35.3948068908421</v>
      </c>
      <c r="O6" s="0" t="n">
        <v>7</v>
      </c>
      <c r="P6" s="0" t="n">
        <v>5</v>
      </c>
      <c r="Q6" s="0" t="n">
        <v>8</v>
      </c>
      <c r="R6" s="0" t="n">
        <v>9</v>
      </c>
      <c r="S6" s="0" t="n">
        <v>7</v>
      </c>
    </row>
    <row r="7" customFormat="false" ht="15" hidden="false" customHeight="false" outlineLevel="0" collapsed="false">
      <c r="A7" s="0" t="s">
        <v>33</v>
      </c>
      <c r="B7" s="0" t="n">
        <v>1077187</v>
      </c>
      <c r="C7" s="0" t="n">
        <v>10.2879122067189</v>
      </c>
      <c r="D7" s="0" t="n">
        <v>3.69572081525151</v>
      </c>
      <c r="E7" s="0" t="n">
        <v>4.82952827998644</v>
      </c>
      <c r="F7" s="0" t="n">
        <v>3.5982761527934</v>
      </c>
      <c r="G7" s="0" t="n">
        <v>321105.5</v>
      </c>
      <c r="H7" s="0" t="n">
        <v>16.5618153535209</v>
      </c>
      <c r="I7" s="0" t="n">
        <v>8</v>
      </c>
      <c r="J7" s="0" t="n">
        <v>22.5672498842338</v>
      </c>
      <c r="K7" s="0" t="n">
        <v>17.6666640325906</v>
      </c>
      <c r="L7" s="0" t="n">
        <v>27.983359722147</v>
      </c>
      <c r="M7" s="0" t="n">
        <v>31.2538633925249</v>
      </c>
      <c r="N7" s="0" t="n">
        <v>24.3909753386549</v>
      </c>
      <c r="O7" s="0" t="n">
        <v>10</v>
      </c>
      <c r="P7" s="0" t="n">
        <v>10</v>
      </c>
      <c r="Q7" s="0" t="n">
        <v>10</v>
      </c>
      <c r="R7" s="0" t="n">
        <v>8</v>
      </c>
      <c r="S7" s="0" t="n">
        <v>10</v>
      </c>
    </row>
    <row r="8" customFormat="false" ht="15" hidden="false" customHeight="false" outlineLevel="0" collapsed="false">
      <c r="A8" s="0" t="s">
        <v>34</v>
      </c>
      <c r="B8" s="0" t="n">
        <v>1273606</v>
      </c>
      <c r="C8" s="0" t="n">
        <v>12.1638552210065</v>
      </c>
      <c r="D8" s="0" t="n">
        <v>5.929565820576</v>
      </c>
      <c r="E8" s="0" t="n">
        <v>5.52289867315867</v>
      </c>
      <c r="F8" s="0" t="n">
        <v>5.9081244765157</v>
      </c>
      <c r="J8" s="0" t="n">
        <v>60.8105480510694</v>
      </c>
      <c r="K8" s="0" t="n">
        <v>63.0159842971728</v>
      </c>
      <c r="L8" s="0" t="n">
        <v>57.3437027386432</v>
      </c>
      <c r="M8" s="0" t="n">
        <v>60.1178420418086</v>
      </c>
      <c r="N8" s="0" t="n">
        <v>58.8494953772713</v>
      </c>
      <c r="O8" s="0" t="n">
        <v>3</v>
      </c>
      <c r="P8" s="0" t="n">
        <v>3</v>
      </c>
      <c r="Q8" s="0" t="n">
        <v>2</v>
      </c>
      <c r="R8" s="0" t="n">
        <v>3</v>
      </c>
      <c r="S8" s="0" t="n">
        <v>3</v>
      </c>
    </row>
    <row r="9" customFormat="false" ht="15" hidden="false" customHeight="false" outlineLevel="0" collapsed="false">
      <c r="A9" s="0" t="s">
        <v>35</v>
      </c>
      <c r="B9" s="0" t="n">
        <v>257935</v>
      </c>
      <c r="C9" s="0" t="n">
        <v>2.46346515047065</v>
      </c>
      <c r="D9" s="0" t="n">
        <v>5.52509921040789</v>
      </c>
      <c r="E9" s="0" t="n">
        <v>4.83670258488185</v>
      </c>
      <c r="F9" s="0" t="n">
        <v>4.31112554038584</v>
      </c>
      <c r="J9" s="0" t="n">
        <v>32.1369885543345</v>
      </c>
      <c r="K9" s="0" t="n">
        <v>33.4551061171644</v>
      </c>
      <c r="L9" s="0" t="n">
        <v>35.1480236678747</v>
      </c>
      <c r="M9" s="0" t="n">
        <v>22.6480236678747</v>
      </c>
      <c r="N9" s="0" t="n">
        <v>32.6362351256598</v>
      </c>
      <c r="O9" s="0" t="n">
        <v>8</v>
      </c>
      <c r="P9" s="0" t="n">
        <v>8</v>
      </c>
      <c r="Q9" s="0" t="n">
        <v>6</v>
      </c>
      <c r="R9" s="0" t="n">
        <v>10</v>
      </c>
      <c r="S9" s="0" t="n">
        <v>8</v>
      </c>
    </row>
    <row r="10" customFormat="false" ht="15" hidden="false" customHeight="false" outlineLevel="0" collapsed="false">
      <c r="A10" s="0" t="s">
        <v>36</v>
      </c>
      <c r="B10" s="0" t="n">
        <v>1105605</v>
      </c>
      <c r="C10" s="0" t="n">
        <v>10.5593245883114</v>
      </c>
      <c r="D10" s="0" t="n">
        <v>5.5367400978616</v>
      </c>
      <c r="E10" s="0" t="n">
        <v>6.25889578626508</v>
      </c>
      <c r="F10" s="0" t="n">
        <v>5.80415880596183</v>
      </c>
      <c r="G10" s="0" t="n">
        <v>956946.1</v>
      </c>
      <c r="H10" s="0" t="n">
        <v>20.1914611491703</v>
      </c>
      <c r="I10" s="0" t="n">
        <v>53.1641805113162</v>
      </c>
      <c r="J10" s="0" t="n">
        <v>63.2494964805596</v>
      </c>
      <c r="K10" s="0" t="n">
        <v>70.3113227318215</v>
      </c>
      <c r="L10" s="0" t="n">
        <v>50.873435321867</v>
      </c>
      <c r="M10" s="0" t="n">
        <v>58.9215579380216</v>
      </c>
      <c r="N10" s="0" t="n">
        <v>62.0391717296057</v>
      </c>
      <c r="O10" s="0" t="n">
        <v>2</v>
      </c>
      <c r="P10" s="0" t="n">
        <v>2</v>
      </c>
      <c r="Q10" s="0" t="n">
        <v>3</v>
      </c>
      <c r="R10" s="0" t="n">
        <v>4</v>
      </c>
      <c r="S10" s="0" t="n">
        <v>2</v>
      </c>
    </row>
    <row r="11" customFormat="false" ht="15" hidden="false" customHeight="false" outlineLevel="0" collapsed="false">
      <c r="A11" s="0" t="s">
        <v>37</v>
      </c>
      <c r="B11" s="0" t="n">
        <v>1920338</v>
      </c>
      <c r="C11" s="0" t="n">
        <v>18.3406119375987</v>
      </c>
      <c r="D11" s="0" t="n">
        <v>3.10428881300604</v>
      </c>
      <c r="E11" s="0" t="n">
        <v>3.09433632998655</v>
      </c>
      <c r="F11" s="0" t="n">
        <v>4.93387448066667</v>
      </c>
      <c r="G11" s="0" t="n">
        <v>197895.5</v>
      </c>
      <c r="H11" s="0" t="n">
        <v>19.270069304254</v>
      </c>
      <c r="I11" s="0" t="n">
        <v>19</v>
      </c>
      <c r="J11" s="0" t="n">
        <v>43.5060581659277</v>
      </c>
      <c r="K11" s="0" t="n">
        <v>37.1901259108218</v>
      </c>
      <c r="L11" s="0" t="n">
        <v>41.4368410872164</v>
      </c>
      <c r="M11" s="0" t="n">
        <v>60.6329827338071</v>
      </c>
      <c r="N11" s="0" t="n">
        <v>41.5254256896307</v>
      </c>
      <c r="O11" s="0" t="n">
        <v>5</v>
      </c>
      <c r="P11" s="0" t="n">
        <v>7</v>
      </c>
      <c r="Q11" s="0" t="n">
        <v>5</v>
      </c>
      <c r="R11" s="0" t="n">
        <v>2</v>
      </c>
      <c r="S11" s="0" t="n">
        <v>5</v>
      </c>
    </row>
    <row r="12" customFormat="false" ht="15" hidden="false" customHeight="false" outlineLevel="0" collapsed="false">
      <c r="A12" s="0" t="s">
        <v>38</v>
      </c>
      <c r="B12" s="0" t="n">
        <v>1794502</v>
      </c>
      <c r="C12" s="0" t="n">
        <v>17.1387874443169</v>
      </c>
      <c r="D12" s="0" t="n">
        <v>4.8998615171385</v>
      </c>
      <c r="E12" s="0" t="n">
        <v>4.51637808531606</v>
      </c>
      <c r="F12" s="0" t="n">
        <v>5.50216072514711</v>
      </c>
      <c r="G12" s="0" t="n">
        <v>686635.9</v>
      </c>
      <c r="H12" s="0" t="n">
        <v>24.1125318381984</v>
      </c>
      <c r="I12" s="0" t="n">
        <v>9.20241076821063</v>
      </c>
      <c r="J12" s="0" t="n">
        <v>41.5386836277038</v>
      </c>
      <c r="K12" s="0" t="n">
        <v>42.5731533586112</v>
      </c>
      <c r="L12" s="0" t="n">
        <v>32.7148842322656</v>
      </c>
      <c r="M12" s="0" t="n">
        <v>55.822503142963</v>
      </c>
      <c r="N12" s="0" t="n">
        <v>39.5735918402834</v>
      </c>
      <c r="O12" s="0" t="n">
        <v>6</v>
      </c>
      <c r="P12" s="0" t="n">
        <v>6</v>
      </c>
      <c r="Q12" s="0" t="n">
        <v>7</v>
      </c>
      <c r="R12" s="0" t="n">
        <v>5</v>
      </c>
      <c r="S12" s="0" t="n">
        <v>6</v>
      </c>
    </row>
    <row r="13" customFormat="false" ht="15" hidden="false" customHeight="false" outlineLevel="0" collapsed="false">
      <c r="A13" s="0" t="s">
        <v>39</v>
      </c>
      <c r="B13" s="0" t="n">
        <v>892166</v>
      </c>
      <c r="C13" s="0" t="n">
        <v>8.52082830726655</v>
      </c>
      <c r="D13" s="0" t="n">
        <v>1.97628006711808</v>
      </c>
      <c r="E13" s="0" t="n">
        <v>2.41872537228496</v>
      </c>
      <c r="F13" s="0" t="n">
        <v>4.41583459952246</v>
      </c>
      <c r="G13" s="0" t="n">
        <v>584989.3</v>
      </c>
      <c r="H13" s="0" t="n">
        <v>18.3985587428693</v>
      </c>
      <c r="I13" s="0" t="n">
        <v>30</v>
      </c>
      <c r="J13" s="0" t="n">
        <v>30.4775076577493</v>
      </c>
      <c r="K13" s="0" t="n">
        <v>26.9735110732463</v>
      </c>
      <c r="L13" s="0" t="n">
        <v>30.4701574459283</v>
      </c>
      <c r="M13" s="0" t="n">
        <v>33.1596283937535</v>
      </c>
      <c r="N13" s="0" t="n">
        <v>28.9522542333084</v>
      </c>
      <c r="O13" s="0" t="n">
        <v>9</v>
      </c>
      <c r="P13" s="0" t="n">
        <v>9</v>
      </c>
      <c r="Q13" s="0" t="n">
        <v>9</v>
      </c>
      <c r="R13" s="0" t="n">
        <v>6</v>
      </c>
      <c r="S13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15" hidden="false" customHeight="false" outlineLevel="0" collapsed="false">
      <c r="A3" s="6" t="s">
        <v>180</v>
      </c>
      <c r="B3" s="6" t="s">
        <v>181</v>
      </c>
      <c r="C3" s="6" t="s">
        <v>182</v>
      </c>
      <c r="D3" s="6" t="s">
        <v>183</v>
      </c>
      <c r="E3" s="6" t="s">
        <v>184</v>
      </c>
    </row>
    <row r="4" customFormat="false" ht="15" hidden="false" customHeight="false" outlineLevel="0" collapsed="false">
      <c r="A4" s="3" t="s">
        <v>185</v>
      </c>
      <c r="B4" s="13" t="n">
        <f aca="false">Scorecard!B6</f>
        <v>1134626</v>
      </c>
      <c r="C4" s="13" t="n">
        <f aca="false">Python_Ref!B4</f>
        <v>1134626</v>
      </c>
      <c r="D4" s="13" t="n">
        <f aca="false">ABS(B4-C4)</f>
        <v>0</v>
      </c>
      <c r="E4" s="3" t="str">
        <f aca="false">IF(D4&lt;=0.5,"PASS","FAIL")</f>
        <v>PASS</v>
      </c>
    </row>
    <row r="5" customFormat="false" ht="15" hidden="false" customHeight="false" outlineLevel="0" collapsed="false">
      <c r="A5" s="3" t="s">
        <v>186</v>
      </c>
      <c r="B5" s="13" t="n">
        <f aca="false">Scorecard!D6</f>
        <v>6.52134931461194</v>
      </c>
      <c r="C5" s="13" t="n">
        <f aca="false">Python_Ref!D4</f>
        <v>6.52134931461195</v>
      </c>
      <c r="D5" s="13" t="n">
        <f aca="false">ABS(B5-C5)</f>
        <v>0</v>
      </c>
      <c r="E5" s="3" t="str">
        <f aca="false">IF(D5&lt;=0.001,"PASS","FAIL")</f>
        <v>PASS</v>
      </c>
    </row>
    <row r="6" customFormat="false" ht="15" hidden="false" customHeight="false" outlineLevel="0" collapsed="false">
      <c r="A6" s="3" t="s">
        <v>187</v>
      </c>
      <c r="B6" s="13" t="n">
        <f aca="false">Scorecard!E6</f>
        <v>9.02828083431253</v>
      </c>
      <c r="C6" s="13" t="n">
        <f aca="false">Python_Ref!E4</f>
        <v>9.02828083431253</v>
      </c>
      <c r="D6" s="13" t="n">
        <f aca="false">ABS(B6-C6)</f>
        <v>0</v>
      </c>
      <c r="E6" s="3" t="str">
        <f aca="false">IF(D6&lt;=0.001,"PASS","FAIL")</f>
        <v>PASS</v>
      </c>
    </row>
    <row r="7" customFormat="false" ht="15" hidden="false" customHeight="false" outlineLevel="0" collapsed="false">
      <c r="A7" s="3" t="s">
        <v>188</v>
      </c>
      <c r="B7" s="13" t="n">
        <f aca="false">Scorecard!F6</f>
        <v>6.27835027565192</v>
      </c>
      <c r="C7" s="13" t="n">
        <f aca="false">Python_Ref!F4</f>
        <v>6.27835027565191</v>
      </c>
      <c r="D7" s="13" t="n">
        <f aca="false">ABS(B7-C7)</f>
        <v>0</v>
      </c>
      <c r="E7" s="3" t="str">
        <f aca="false">IF(D7&lt;=0.001,"PASS","FAIL")</f>
        <v>PASS</v>
      </c>
    </row>
    <row r="8" customFormat="false" ht="15" hidden="false" customHeight="false" outlineLevel="0" collapsed="false">
      <c r="A8" s="3" t="s">
        <v>189</v>
      </c>
      <c r="B8" s="13" t="n">
        <f aca="false">Scorecard!H6</f>
        <v>3.25372447645495</v>
      </c>
      <c r="C8" s="13" t="n">
        <f aca="false">Python_Ref!H4</f>
        <v>3.25372447645495</v>
      </c>
      <c r="D8" s="13" t="n">
        <f aca="false">ABS(B8-C8)</f>
        <v>0</v>
      </c>
      <c r="E8" s="3" t="str">
        <f aca="false">IF(D8&lt;=0.001,"PASS","FAIL")</f>
        <v>PASS</v>
      </c>
    </row>
    <row r="9" customFormat="false" ht="15" hidden="false" customHeight="false" outlineLevel="0" collapsed="false">
      <c r="A9" s="3" t="s">
        <v>190</v>
      </c>
      <c r="B9" s="13" t="n">
        <f aca="false">Scorecard!I6</f>
        <v>22</v>
      </c>
      <c r="C9" s="13" t="n">
        <f aca="false">Python_Ref!I4</f>
        <v>22</v>
      </c>
      <c r="D9" s="13" t="n">
        <f aca="false">ABS(B9-C9)</f>
        <v>0</v>
      </c>
      <c r="E9" s="3" t="str">
        <f aca="false">IF(D9&lt;=0.001,"PASS","FAIL")</f>
        <v>PASS</v>
      </c>
    </row>
    <row r="10" customFormat="false" ht="15" hidden="false" customHeight="false" outlineLevel="0" collapsed="false">
      <c r="A10" s="3" t="s">
        <v>191</v>
      </c>
      <c r="B10" s="13" t="n">
        <f aca="false">Scenarios!B5</f>
        <v>76.7468772802063</v>
      </c>
      <c r="C10" s="13" t="n">
        <f aca="false">Python_Ref!J4</f>
        <v>76.7468772802063</v>
      </c>
      <c r="D10" s="13" t="n">
        <f aca="false">ABS(B10-C10)</f>
        <v>0</v>
      </c>
      <c r="E10" s="3" t="str">
        <f aca="false">IF(D10&lt;=0.01,"PASS","FAIL")</f>
        <v>PASS</v>
      </c>
    </row>
    <row r="11" customFormat="false" ht="15" hidden="false" customHeight="false" outlineLevel="0" collapsed="false">
      <c r="A11" s="3" t="s">
        <v>192</v>
      </c>
      <c r="B11" s="13" t="n">
        <f aca="false">Scenarios!G5</f>
        <v>1</v>
      </c>
      <c r="C11" s="13" t="n">
        <f aca="false">Python_Ref!O4</f>
        <v>1</v>
      </c>
      <c r="D11" s="13" t="n">
        <f aca="false">ABS(B11-C11)</f>
        <v>0</v>
      </c>
      <c r="E11" s="3" t="str">
        <f aca="false">IF(D11&lt;=0,"PASS","FAIL")</f>
        <v>PASS</v>
      </c>
    </row>
    <row r="12" customFormat="false" ht="15" hidden="false" customHeight="false" outlineLevel="0" collapsed="false">
      <c r="A12" s="3" t="s">
        <v>193</v>
      </c>
      <c r="B12" s="13" t="n">
        <f aca="false">Scenarios!C5</f>
        <v>81.4732402619863</v>
      </c>
      <c r="C12" s="13" t="n">
        <f aca="false">Python_Ref!K4</f>
        <v>81.4732402619863</v>
      </c>
      <c r="D12" s="13" t="n">
        <f aca="false">ABS(B12-C12)</f>
        <v>0</v>
      </c>
      <c r="E12" s="3" t="str">
        <f aca="false">IF(D12&lt;=0.01,"PASS","FAIL")</f>
        <v>PASS</v>
      </c>
    </row>
    <row r="13" customFormat="false" ht="15" hidden="false" customHeight="false" outlineLevel="0" collapsed="false">
      <c r="A13" s="3" t="s">
        <v>194</v>
      </c>
      <c r="B13" s="13" t="n">
        <f aca="false">Scenarios!H5</f>
        <v>1</v>
      </c>
      <c r="C13" s="13" t="n">
        <f aca="false">Python_Ref!P4</f>
        <v>1</v>
      </c>
      <c r="D13" s="13" t="n">
        <f aca="false">ABS(B13-C13)</f>
        <v>0</v>
      </c>
      <c r="E13" s="3" t="str">
        <f aca="false">IF(D13&lt;=0,"PASS","FAIL")</f>
        <v>PASS</v>
      </c>
    </row>
    <row r="14" customFormat="false" ht="15" hidden="false" customHeight="false" outlineLevel="0" collapsed="false">
      <c r="A14" s="3" t="s">
        <v>195</v>
      </c>
      <c r="B14" s="13" t="n">
        <f aca="false">Scenarios!D5</f>
        <v>80.1969764692647</v>
      </c>
      <c r="C14" s="13" t="n">
        <f aca="false">Python_Ref!L4</f>
        <v>80.1969764692647</v>
      </c>
      <c r="D14" s="13" t="n">
        <f aca="false">ABS(B14-C14)</f>
        <v>0</v>
      </c>
      <c r="E14" s="3" t="str">
        <f aca="false">IF(D14&lt;=0.01,"PASS","FAIL")</f>
        <v>PASS</v>
      </c>
    </row>
    <row r="15" customFormat="false" ht="15" hidden="false" customHeight="false" outlineLevel="0" collapsed="false">
      <c r="A15" s="3" t="s">
        <v>196</v>
      </c>
      <c r="B15" s="13" t="n">
        <f aca="false">Scenarios!I5</f>
        <v>1</v>
      </c>
      <c r="C15" s="13" t="n">
        <f aca="false">Python_Ref!Q4</f>
        <v>1</v>
      </c>
      <c r="D15" s="13" t="n">
        <f aca="false">ABS(B15-C15)</f>
        <v>0</v>
      </c>
      <c r="E15" s="3" t="str">
        <f aca="false">IF(D15&lt;=0,"PASS","FAIL")</f>
        <v>PASS</v>
      </c>
    </row>
    <row r="16" customFormat="false" ht="15" hidden="false" customHeight="false" outlineLevel="0" collapsed="false">
      <c r="A16" s="3" t="s">
        <v>197</v>
      </c>
      <c r="B16" s="13" t="n">
        <f aca="false">Scenarios!E5</f>
        <v>68.3810690148147</v>
      </c>
      <c r="C16" s="13" t="n">
        <f aca="false">Python_Ref!M4</f>
        <v>68.3810690148147</v>
      </c>
      <c r="D16" s="13" t="n">
        <f aca="false">ABS(B16-C16)</f>
        <v>0</v>
      </c>
      <c r="E16" s="3" t="str">
        <f aca="false">IF(D16&lt;=0.01,"PASS","FAIL")</f>
        <v>PASS</v>
      </c>
    </row>
    <row r="17" customFormat="false" ht="15" hidden="false" customHeight="false" outlineLevel="0" collapsed="false">
      <c r="A17" s="3" t="s">
        <v>198</v>
      </c>
      <c r="B17" s="13" t="n">
        <f aca="false">Scenarios!J5</f>
        <v>1</v>
      </c>
      <c r="C17" s="13" t="n">
        <f aca="false">Python_Ref!R4</f>
        <v>1</v>
      </c>
      <c r="D17" s="13" t="n">
        <f aca="false">ABS(B17-C17)</f>
        <v>0</v>
      </c>
      <c r="E17" s="3" t="str">
        <f aca="false">IF(D17&lt;=0,"PASS","FAIL")</f>
        <v>PASS</v>
      </c>
    </row>
    <row r="18" customFormat="false" ht="15" hidden="false" customHeight="false" outlineLevel="0" collapsed="false">
      <c r="A18" s="3" t="s">
        <v>199</v>
      </c>
      <c r="B18" s="13" t="n">
        <f aca="false">Scenarios!F5</f>
        <v>76.7468772802063</v>
      </c>
      <c r="C18" s="13" t="n">
        <f aca="false">Python_Ref!N4</f>
        <v>76.7468772802063</v>
      </c>
      <c r="D18" s="13" t="n">
        <f aca="false">ABS(B18-C18)</f>
        <v>0</v>
      </c>
      <c r="E18" s="3" t="str">
        <f aca="false">IF(D18&lt;=0.01,"PASS","FAIL")</f>
        <v>PASS</v>
      </c>
    </row>
    <row r="19" customFormat="false" ht="15" hidden="false" customHeight="false" outlineLevel="0" collapsed="false">
      <c r="A19" s="3" t="s">
        <v>200</v>
      </c>
      <c r="B19" s="13" t="n">
        <f aca="false">Scenarios!K5</f>
        <v>1</v>
      </c>
      <c r="C19" s="13" t="n">
        <f aca="false">Python_Ref!S4</f>
        <v>1</v>
      </c>
      <c r="D19" s="13" t="n">
        <f aca="false">ABS(B19-C19)</f>
        <v>0</v>
      </c>
      <c r="E19" s="3" t="str">
        <f aca="false">IF(D19&lt;=0,"PASS","FAIL")</f>
        <v>PASS</v>
      </c>
    </row>
    <row r="20" customFormat="false" ht="15" hidden="false" customHeight="false" outlineLevel="0" collapsed="false">
      <c r="A20" s="3" t="s">
        <v>201</v>
      </c>
      <c r="B20" s="13" t="n">
        <f aca="false">Scorecard!B7</f>
        <v>385040</v>
      </c>
      <c r="C20" s="13" t="n">
        <f aca="false">Python_Ref!B5</f>
        <v>385040</v>
      </c>
      <c r="D20" s="13" t="n">
        <f aca="false">ABS(B20-C20)</f>
        <v>0</v>
      </c>
      <c r="E20" s="3" t="str">
        <f aca="false">IF(D20&lt;=0.5,"PASS","FAIL")</f>
        <v>PASS</v>
      </c>
    </row>
    <row r="21" customFormat="false" ht="15" hidden="false" customHeight="false" outlineLevel="0" collapsed="false">
      <c r="A21" s="3" t="s">
        <v>202</v>
      </c>
      <c r="B21" s="13" t="n">
        <f aca="false">Scorecard!D7</f>
        <v>7.86944950273147</v>
      </c>
      <c r="C21" s="13" t="n">
        <f aca="false">Python_Ref!D5</f>
        <v>7.86944950273147</v>
      </c>
      <c r="D21" s="13" t="n">
        <f aca="false">ABS(B21-C21)</f>
        <v>0</v>
      </c>
      <c r="E21" s="3" t="str">
        <f aca="false">IF(D21&lt;=0.001,"PASS","FAIL")</f>
        <v>PASS</v>
      </c>
    </row>
    <row r="22" customFormat="false" ht="15" hidden="false" customHeight="false" outlineLevel="0" collapsed="false">
      <c r="A22" s="3" t="s">
        <v>203</v>
      </c>
      <c r="B22" s="13" t="n">
        <f aca="false">Scorecard!E7</f>
        <v>3.49530544477357</v>
      </c>
      <c r="C22" s="13" t="n">
        <f aca="false">Python_Ref!E5</f>
        <v>3.49530544477357</v>
      </c>
      <c r="D22" s="13" t="n">
        <f aca="false">ABS(B22-C22)</f>
        <v>0</v>
      </c>
      <c r="E22" s="3" t="str">
        <f aca="false">IF(D22&lt;=0.001,"PASS","FAIL")</f>
        <v>PASS</v>
      </c>
    </row>
    <row r="23" customFormat="false" ht="15" hidden="false" customHeight="false" outlineLevel="0" collapsed="false">
      <c r="A23" s="3" t="s">
        <v>204</v>
      </c>
      <c r="B23" s="13" t="n">
        <f aca="false">Scorecard!F7</f>
        <v>5.67312218779765</v>
      </c>
      <c r="C23" s="13" t="n">
        <f aca="false">Python_Ref!F5</f>
        <v>5.67312218779765</v>
      </c>
      <c r="D23" s="13" t="n">
        <f aca="false">ABS(B23-C23)</f>
        <v>0</v>
      </c>
      <c r="E23" s="3" t="str">
        <f aca="false">IF(D23&lt;=0.001,"PASS","FAIL")</f>
        <v>PASS</v>
      </c>
    </row>
    <row r="24" customFormat="false" ht="15" hidden="false" customHeight="false" outlineLevel="0" collapsed="false">
      <c r="A24" s="3" t="s">
        <v>205</v>
      </c>
      <c r="B24" s="13" t="n">
        <f aca="false">Scorecard!H7</f>
        <v>9.55558097903613</v>
      </c>
      <c r="C24" s="13" t="n">
        <f aca="false">Python_Ref!H5</f>
        <v>9.55558097903613</v>
      </c>
      <c r="D24" s="13" t="n">
        <f aca="false">ABS(B24-C24)</f>
        <v>0</v>
      </c>
      <c r="E24" s="3" t="str">
        <f aca="false">IF(D24&lt;=0.001,"PASS","FAIL")</f>
        <v>PASS</v>
      </c>
    </row>
    <row r="25" customFormat="false" ht="15" hidden="false" customHeight="false" outlineLevel="0" collapsed="false">
      <c r="A25" s="3" t="s">
        <v>206</v>
      </c>
      <c r="B25" s="13" t="n">
        <f aca="false">Scorecard!I7</f>
        <v>25.9962301399784</v>
      </c>
      <c r="C25" s="13" t="n">
        <f aca="false">Python_Ref!I5</f>
        <v>25.9962301399784</v>
      </c>
      <c r="D25" s="13" t="n">
        <f aca="false">ABS(B25-C25)</f>
        <v>0</v>
      </c>
      <c r="E25" s="3" t="str">
        <f aca="false">IF(D25&lt;=0.001,"PASS","FAIL")</f>
        <v>PASS</v>
      </c>
    </row>
    <row r="26" customFormat="false" ht="15" hidden="false" customHeight="false" outlineLevel="0" collapsed="false">
      <c r="A26" s="3" t="s">
        <v>207</v>
      </c>
      <c r="B26" s="13" t="n">
        <f aca="false">Scenarios!B6</f>
        <v>45.253634422397</v>
      </c>
      <c r="C26" s="13" t="n">
        <f aca="false">Python_Ref!J5</f>
        <v>45.2536344223971</v>
      </c>
      <c r="D26" s="13" t="n">
        <f aca="false">ABS(B26-C26)</f>
        <v>0</v>
      </c>
      <c r="E26" s="3" t="str">
        <f aca="false">IF(D26&lt;=0.01,"PASS","FAIL")</f>
        <v>PASS</v>
      </c>
    </row>
    <row r="27" customFormat="false" ht="15" hidden="false" customHeight="false" outlineLevel="0" collapsed="false">
      <c r="A27" s="3" t="s">
        <v>208</v>
      </c>
      <c r="B27" s="13" t="n">
        <f aca="false">Scenarios!G6</f>
        <v>4</v>
      </c>
      <c r="C27" s="13" t="n">
        <f aca="false">Python_Ref!O5</f>
        <v>4</v>
      </c>
      <c r="D27" s="13" t="n">
        <f aca="false">ABS(B27-C27)</f>
        <v>0</v>
      </c>
      <c r="E27" s="3" t="str">
        <f aca="false">IF(D27&lt;=0,"PASS","FAIL")</f>
        <v>PASS</v>
      </c>
    </row>
    <row r="28" customFormat="false" ht="15" hidden="false" customHeight="false" outlineLevel="0" collapsed="false">
      <c r="A28" s="3" t="s">
        <v>209</v>
      </c>
      <c r="B28" s="13" t="n">
        <f aca="false">Scenarios!C6</f>
        <v>46.8808178201384</v>
      </c>
      <c r="C28" s="13" t="n">
        <f aca="false">Python_Ref!K5</f>
        <v>46.8808178201385</v>
      </c>
      <c r="D28" s="13" t="n">
        <f aca="false">ABS(B28-C28)</f>
        <v>0</v>
      </c>
      <c r="E28" s="3" t="str">
        <f aca="false">IF(D28&lt;=0.01,"PASS","FAIL")</f>
        <v>PASS</v>
      </c>
    </row>
    <row r="29" customFormat="false" ht="15" hidden="false" customHeight="false" outlineLevel="0" collapsed="false">
      <c r="A29" s="3" t="s">
        <v>210</v>
      </c>
      <c r="B29" s="13" t="n">
        <f aca="false">Scenarios!H6</f>
        <v>4</v>
      </c>
      <c r="C29" s="13" t="n">
        <f aca="false">Python_Ref!P5</f>
        <v>4</v>
      </c>
      <c r="D29" s="13" t="n">
        <f aca="false">ABS(B29-C29)</f>
        <v>0</v>
      </c>
      <c r="E29" s="3" t="str">
        <f aca="false">IF(D29&lt;=0,"PASS","FAIL")</f>
        <v>PASS</v>
      </c>
    </row>
    <row r="30" customFormat="false" ht="15" hidden="false" customHeight="false" outlineLevel="0" collapsed="false">
      <c r="A30" s="3" t="s">
        <v>211</v>
      </c>
      <c r="B30" s="13" t="n">
        <f aca="false">Scenarios!D6</f>
        <v>48.6627677156428</v>
      </c>
      <c r="C30" s="13" t="n">
        <f aca="false">Python_Ref!L5</f>
        <v>48.6627677156428</v>
      </c>
      <c r="D30" s="13" t="n">
        <f aca="false">ABS(B30-C30)</f>
        <v>0</v>
      </c>
      <c r="E30" s="3" t="str">
        <f aca="false">IF(D30&lt;=0.01,"PASS","FAIL")</f>
        <v>PASS</v>
      </c>
    </row>
    <row r="31" customFormat="false" ht="15" hidden="false" customHeight="false" outlineLevel="0" collapsed="false">
      <c r="A31" s="3" t="s">
        <v>212</v>
      </c>
      <c r="B31" s="13" t="n">
        <f aca="false">Scenarios!I6</f>
        <v>4</v>
      </c>
      <c r="C31" s="13" t="n">
        <f aca="false">Python_Ref!Q5</f>
        <v>4</v>
      </c>
      <c r="D31" s="13" t="n">
        <f aca="false">ABS(B31-C31)</f>
        <v>0</v>
      </c>
      <c r="E31" s="3" t="str">
        <f aca="false">IF(D31&lt;=0,"PASS","FAIL")</f>
        <v>PASS</v>
      </c>
    </row>
    <row r="32" customFormat="false" ht="15" hidden="false" customHeight="false" outlineLevel="0" collapsed="false">
      <c r="A32" s="3" t="s">
        <v>213</v>
      </c>
      <c r="B32" s="13" t="n">
        <f aca="false">Scenarios!E6</f>
        <v>33.1272249814622</v>
      </c>
      <c r="C32" s="13" t="n">
        <f aca="false">Python_Ref!M5</f>
        <v>33.1272249814623</v>
      </c>
      <c r="D32" s="13" t="n">
        <f aca="false">ABS(B32-C32)</f>
        <v>0</v>
      </c>
      <c r="E32" s="3" t="str">
        <f aca="false">IF(D32&lt;=0.01,"PASS","FAIL")</f>
        <v>PASS</v>
      </c>
    </row>
    <row r="33" customFormat="false" ht="15" hidden="false" customHeight="false" outlineLevel="0" collapsed="false">
      <c r="A33" s="3" t="s">
        <v>214</v>
      </c>
      <c r="B33" s="13" t="n">
        <f aca="false">Scenarios!J6</f>
        <v>7</v>
      </c>
      <c r="C33" s="13" t="n">
        <f aca="false">Python_Ref!R5</f>
        <v>7</v>
      </c>
      <c r="D33" s="13" t="n">
        <f aca="false">ABS(B33-C33)</f>
        <v>0</v>
      </c>
      <c r="E33" s="3" t="str">
        <f aca="false">IF(D33&lt;=0,"PASS","FAIL")</f>
        <v>PASS</v>
      </c>
    </row>
    <row r="34" customFormat="false" ht="15" hidden="false" customHeight="false" outlineLevel="0" collapsed="false">
      <c r="A34" s="3" t="s">
        <v>215</v>
      </c>
      <c r="B34" s="13" t="n">
        <f aca="false">Scenarios!F6</f>
        <v>42.1971719343422</v>
      </c>
      <c r="C34" s="13" t="n">
        <f aca="false">Python_Ref!N5</f>
        <v>42.1971719343422</v>
      </c>
      <c r="D34" s="13" t="n">
        <f aca="false">ABS(B34-C34)</f>
        <v>0</v>
      </c>
      <c r="E34" s="3" t="str">
        <f aca="false">IF(D34&lt;=0.01,"PASS","FAIL")</f>
        <v>PASS</v>
      </c>
    </row>
    <row r="35" customFormat="false" ht="15" hidden="false" customHeight="false" outlineLevel="0" collapsed="false">
      <c r="A35" s="3" t="s">
        <v>216</v>
      </c>
      <c r="B35" s="13" t="n">
        <f aca="false">Scenarios!K6</f>
        <v>4</v>
      </c>
      <c r="C35" s="13" t="n">
        <f aca="false">Python_Ref!S5</f>
        <v>4</v>
      </c>
      <c r="D35" s="13" t="n">
        <f aca="false">ABS(B35-C35)</f>
        <v>0</v>
      </c>
      <c r="E35" s="3" t="str">
        <f aca="false">IF(D35&lt;=0,"PASS","FAIL")</f>
        <v>PASS</v>
      </c>
    </row>
    <row r="36" customFormat="false" ht="15" hidden="false" customHeight="false" outlineLevel="0" collapsed="false">
      <c r="A36" s="3" t="s">
        <v>217</v>
      </c>
      <c r="B36" s="13" t="n">
        <f aca="false">Scorecard!B8</f>
        <v>391886</v>
      </c>
      <c r="C36" s="13" t="n">
        <f aca="false">Python_Ref!B6</f>
        <v>391886</v>
      </c>
      <c r="D36" s="13" t="n">
        <f aca="false">ABS(B36-C36)</f>
        <v>0</v>
      </c>
      <c r="E36" s="3" t="str">
        <f aca="false">IF(D36&lt;=0.5,"PASS","FAIL")</f>
        <v>PASS</v>
      </c>
    </row>
    <row r="37" customFormat="false" ht="15" hidden="false" customHeight="false" outlineLevel="0" collapsed="false">
      <c r="A37" s="3" t="s">
        <v>218</v>
      </c>
      <c r="B37" s="13" t="n">
        <f aca="false">Scorecard!D8</f>
        <v>4.82159096988177</v>
      </c>
      <c r="C37" s="13" t="n">
        <f aca="false">Python_Ref!D6</f>
        <v>4.82159096988177</v>
      </c>
      <c r="D37" s="13" t="n">
        <f aca="false">ABS(B37-C37)</f>
        <v>0</v>
      </c>
      <c r="E37" s="3" t="str">
        <f aca="false">IF(D37&lt;=0.001,"PASS","FAIL")</f>
        <v>PASS</v>
      </c>
    </row>
    <row r="38" customFormat="false" ht="15" hidden="false" customHeight="false" outlineLevel="0" collapsed="false">
      <c r="A38" s="3" t="s">
        <v>219</v>
      </c>
      <c r="B38" s="13" t="n">
        <f aca="false">Scorecard!E8</f>
        <v>7.79698305994461</v>
      </c>
      <c r="C38" s="13" t="n">
        <f aca="false">Python_Ref!E6</f>
        <v>7.79698305994461</v>
      </c>
      <c r="D38" s="13" t="n">
        <f aca="false">ABS(B38-C38)</f>
        <v>0</v>
      </c>
      <c r="E38" s="3" t="str">
        <f aca="false">IF(D38&lt;=0.001,"PASS","FAIL")</f>
        <v>PASS</v>
      </c>
    </row>
    <row r="39" customFormat="false" ht="15" hidden="false" customHeight="false" outlineLevel="0" collapsed="false">
      <c r="A39" s="3" t="s">
        <v>220</v>
      </c>
      <c r="B39" s="13" t="n">
        <f aca="false">Scorecard!F8</f>
        <v>4.97439346127982</v>
      </c>
      <c r="C39" s="13" t="n">
        <f aca="false">Python_Ref!F6</f>
        <v>4.97439346127981</v>
      </c>
      <c r="D39" s="13" t="n">
        <f aca="false">ABS(B39-C39)</f>
        <v>0</v>
      </c>
      <c r="E39" s="3" t="str">
        <f aca="false">IF(D39&lt;=0.001,"PASS","FAIL")</f>
        <v>PASS</v>
      </c>
    </row>
    <row r="40" customFormat="false" ht="15" hidden="false" customHeight="false" outlineLevel="0" collapsed="false">
      <c r="A40" s="3" t="s">
        <v>221</v>
      </c>
      <c r="B40" s="13" t="n">
        <f aca="false">Scorecard!H8</f>
        <v>16.5618153535209</v>
      </c>
      <c r="C40" s="13" t="n">
        <f aca="false">Python_Ref!H6</f>
        <v>16.5618153535209</v>
      </c>
      <c r="D40" s="13" t="n">
        <f aca="false">ABS(B40-C40)</f>
        <v>0</v>
      </c>
      <c r="E40" s="3" t="str">
        <f aca="false">IF(D40&lt;=0.001,"PASS","FAIL")</f>
        <v>PASS</v>
      </c>
    </row>
    <row r="41" customFormat="false" ht="15" hidden="false" customHeight="false" outlineLevel="0" collapsed="false">
      <c r="A41" s="3" t="s">
        <v>222</v>
      </c>
      <c r="B41" s="13" t="n">
        <f aca="false">Scorecard!I8</f>
        <v>8</v>
      </c>
      <c r="C41" s="13" t="n">
        <f aca="false">Python_Ref!I6</f>
        <v>8</v>
      </c>
      <c r="D41" s="13" t="n">
        <f aca="false">ABS(B41-C41)</f>
        <v>0</v>
      </c>
      <c r="E41" s="3" t="str">
        <f aca="false">IF(D41&lt;=0.001,"PASS","FAIL")</f>
        <v>PASS</v>
      </c>
    </row>
    <row r="42" customFormat="false" ht="15" hidden="false" customHeight="false" outlineLevel="0" collapsed="false">
      <c r="A42" s="3" t="s">
        <v>223</v>
      </c>
      <c r="B42" s="13" t="n">
        <f aca="false">Scenarios!B7</f>
        <v>33.8935717123099</v>
      </c>
      <c r="C42" s="13" t="n">
        <f aca="false">Python_Ref!J6</f>
        <v>33.8935717123099</v>
      </c>
      <c r="D42" s="13" t="n">
        <f aca="false">ABS(B42-C42)</f>
        <v>0</v>
      </c>
      <c r="E42" s="3" t="str">
        <f aca="false">IF(D42&lt;=0.01,"PASS","FAIL")</f>
        <v>PASS</v>
      </c>
    </row>
    <row r="43" customFormat="false" ht="15" hidden="false" customHeight="false" outlineLevel="0" collapsed="false">
      <c r="A43" s="3" t="s">
        <v>224</v>
      </c>
      <c r="B43" s="13" t="n">
        <f aca="false">Scenarios!G7</f>
        <v>7</v>
      </c>
      <c r="C43" s="13" t="n">
        <f aca="false">Python_Ref!O6</f>
        <v>7</v>
      </c>
      <c r="D43" s="13" t="n">
        <f aca="false">ABS(B43-C43)</f>
        <v>0</v>
      </c>
      <c r="E43" s="3" t="str">
        <f aca="false">IF(D43&lt;=0,"PASS","FAIL")</f>
        <v>PASS</v>
      </c>
    </row>
    <row r="44" customFormat="false" ht="15" hidden="false" customHeight="false" outlineLevel="0" collapsed="false">
      <c r="A44" s="3" t="s">
        <v>225</v>
      </c>
      <c r="B44" s="13" t="n">
        <f aca="false">Scenarios!C7</f>
        <v>42.7396052375118</v>
      </c>
      <c r="C44" s="13" t="n">
        <f aca="false">Python_Ref!K6</f>
        <v>42.7396052375118</v>
      </c>
      <c r="D44" s="13" t="n">
        <f aca="false">ABS(B44-C44)</f>
        <v>0</v>
      </c>
      <c r="E44" s="3" t="str">
        <f aca="false">IF(D44&lt;=0.01,"PASS","FAIL")</f>
        <v>PASS</v>
      </c>
    </row>
    <row r="45" customFormat="false" ht="15" hidden="false" customHeight="false" outlineLevel="0" collapsed="false">
      <c r="A45" s="3" t="s">
        <v>226</v>
      </c>
      <c r="B45" s="13" t="n">
        <f aca="false">Scenarios!H7</f>
        <v>5</v>
      </c>
      <c r="C45" s="13" t="n">
        <f aca="false">Python_Ref!P6</f>
        <v>5</v>
      </c>
      <c r="D45" s="13" t="n">
        <f aca="false">ABS(B45-C45)</f>
        <v>0</v>
      </c>
      <c r="E45" s="3" t="str">
        <f aca="false">IF(D45&lt;=0,"PASS","FAIL")</f>
        <v>PASS</v>
      </c>
    </row>
    <row r="46" customFormat="false" ht="15" hidden="false" customHeight="false" outlineLevel="0" collapsed="false">
      <c r="A46" s="3" t="s">
        <v>227</v>
      </c>
      <c r="B46" s="13" t="n">
        <f aca="false">Scenarios!D7</f>
        <v>31.9302357299266</v>
      </c>
      <c r="C46" s="13" t="n">
        <f aca="false">Python_Ref!L6</f>
        <v>31.9302357299266</v>
      </c>
      <c r="D46" s="13" t="n">
        <f aca="false">ABS(B46-C46)</f>
        <v>0</v>
      </c>
      <c r="E46" s="3" t="str">
        <f aca="false">IF(D46&lt;=0.01,"PASS","FAIL")</f>
        <v>PASS</v>
      </c>
    </row>
    <row r="47" customFormat="false" ht="15" hidden="false" customHeight="false" outlineLevel="0" collapsed="false">
      <c r="A47" s="3" t="s">
        <v>228</v>
      </c>
      <c r="B47" s="13" t="n">
        <f aca="false">Scenarios!I7</f>
        <v>8</v>
      </c>
      <c r="C47" s="13" t="n">
        <f aca="false">Python_Ref!Q6</f>
        <v>8</v>
      </c>
      <c r="D47" s="13" t="n">
        <f aca="false">ABS(B47-C47)</f>
        <v>0</v>
      </c>
      <c r="E47" s="3" t="str">
        <f aca="false">IF(D47&lt;=0,"PASS","FAIL")</f>
        <v>PASS</v>
      </c>
    </row>
    <row r="48" customFormat="false" ht="15" hidden="false" customHeight="false" outlineLevel="0" collapsed="false">
      <c r="A48" s="3" t="s">
        <v>229</v>
      </c>
      <c r="B48" s="13" t="n">
        <f aca="false">Scenarios!E7</f>
        <v>24.8948598993652</v>
      </c>
      <c r="C48" s="13" t="n">
        <f aca="false">Python_Ref!M6</f>
        <v>24.8948598993652</v>
      </c>
      <c r="D48" s="13" t="n">
        <f aca="false">ABS(B48-C48)</f>
        <v>0</v>
      </c>
      <c r="E48" s="3" t="str">
        <f aca="false">IF(D48&lt;=0.01,"PASS","FAIL")</f>
        <v>PASS</v>
      </c>
    </row>
    <row r="49" customFormat="false" ht="15" hidden="false" customHeight="false" outlineLevel="0" collapsed="false">
      <c r="A49" s="3" t="s">
        <v>230</v>
      </c>
      <c r="B49" s="13" t="n">
        <f aca="false">Scenarios!J7</f>
        <v>9</v>
      </c>
      <c r="C49" s="13" t="n">
        <f aca="false">Python_Ref!R6</f>
        <v>9</v>
      </c>
      <c r="D49" s="13" t="n">
        <f aca="false">ABS(B49-C49)</f>
        <v>0</v>
      </c>
      <c r="E49" s="3" t="str">
        <f aca="false">IF(D49&lt;=0,"PASS","FAIL")</f>
        <v>PASS</v>
      </c>
    </row>
    <row r="50" customFormat="false" ht="15" hidden="false" customHeight="false" outlineLevel="0" collapsed="false">
      <c r="A50" s="3" t="s">
        <v>231</v>
      </c>
      <c r="B50" s="13" t="n">
        <f aca="false">Scenarios!F7</f>
        <v>35.3948068908421</v>
      </c>
      <c r="C50" s="13" t="n">
        <f aca="false">Python_Ref!N6</f>
        <v>35.3948068908421</v>
      </c>
      <c r="D50" s="13" t="n">
        <f aca="false">ABS(B50-C50)</f>
        <v>0</v>
      </c>
      <c r="E50" s="3" t="str">
        <f aca="false">IF(D50&lt;=0.01,"PASS","FAIL")</f>
        <v>PASS</v>
      </c>
    </row>
    <row r="51" customFormat="false" ht="15" hidden="false" customHeight="false" outlineLevel="0" collapsed="false">
      <c r="A51" s="3" t="s">
        <v>232</v>
      </c>
      <c r="B51" s="13" t="n">
        <f aca="false">Scenarios!K7</f>
        <v>7</v>
      </c>
      <c r="C51" s="13" t="n">
        <f aca="false">Python_Ref!S6</f>
        <v>7</v>
      </c>
      <c r="D51" s="13" t="n">
        <f aca="false">ABS(B51-C51)</f>
        <v>0</v>
      </c>
      <c r="E51" s="3" t="str">
        <f aca="false">IF(D51&lt;=0,"PASS","FAIL")</f>
        <v>PASS</v>
      </c>
    </row>
    <row r="52" customFormat="false" ht="15" hidden="false" customHeight="false" outlineLevel="0" collapsed="false">
      <c r="A52" s="3" t="s">
        <v>233</v>
      </c>
      <c r="B52" s="13" t="n">
        <f aca="false">Scorecard!B9</f>
        <v>1077187</v>
      </c>
      <c r="C52" s="13" t="n">
        <f aca="false">Python_Ref!B7</f>
        <v>1077187</v>
      </c>
      <c r="D52" s="13" t="n">
        <f aca="false">ABS(B52-C52)</f>
        <v>0</v>
      </c>
      <c r="E52" s="3" t="str">
        <f aca="false">IF(D52&lt;=0.5,"PASS","FAIL")</f>
        <v>PASS</v>
      </c>
    </row>
    <row r="53" customFormat="false" ht="15" hidden="false" customHeight="false" outlineLevel="0" collapsed="false">
      <c r="A53" s="3" t="s">
        <v>234</v>
      </c>
      <c r="B53" s="13" t="n">
        <f aca="false">Scorecard!D9</f>
        <v>3.69572081525152</v>
      </c>
      <c r="C53" s="13" t="n">
        <f aca="false">Python_Ref!D7</f>
        <v>3.69572081525151</v>
      </c>
      <c r="D53" s="13" t="n">
        <f aca="false">ABS(B53-C53)</f>
        <v>0</v>
      </c>
      <c r="E53" s="3" t="str">
        <f aca="false">IF(D53&lt;=0.001,"PASS","FAIL")</f>
        <v>PASS</v>
      </c>
    </row>
    <row r="54" customFormat="false" ht="15" hidden="false" customHeight="false" outlineLevel="0" collapsed="false">
      <c r="A54" s="3" t="s">
        <v>235</v>
      </c>
      <c r="B54" s="13" t="n">
        <f aca="false">Scorecard!E9</f>
        <v>4.82952827998644</v>
      </c>
      <c r="C54" s="13" t="n">
        <f aca="false">Python_Ref!E7</f>
        <v>4.82952827998644</v>
      </c>
      <c r="D54" s="13" t="n">
        <f aca="false">ABS(B54-C54)</f>
        <v>0</v>
      </c>
      <c r="E54" s="3" t="str">
        <f aca="false">IF(D54&lt;=0.001,"PASS","FAIL")</f>
        <v>PASS</v>
      </c>
    </row>
    <row r="55" customFormat="false" ht="15" hidden="false" customHeight="false" outlineLevel="0" collapsed="false">
      <c r="A55" s="3" t="s">
        <v>236</v>
      </c>
      <c r="B55" s="13" t="n">
        <f aca="false">Scorecard!F9</f>
        <v>3.5982761527934</v>
      </c>
      <c r="C55" s="13" t="n">
        <f aca="false">Python_Ref!F7</f>
        <v>3.5982761527934</v>
      </c>
      <c r="D55" s="13" t="n">
        <f aca="false">ABS(B55-C55)</f>
        <v>0</v>
      </c>
      <c r="E55" s="3" t="str">
        <f aca="false">IF(D55&lt;=0.001,"PASS","FAIL")</f>
        <v>PASS</v>
      </c>
    </row>
    <row r="56" customFormat="false" ht="15" hidden="false" customHeight="false" outlineLevel="0" collapsed="false">
      <c r="A56" s="3" t="s">
        <v>237</v>
      </c>
      <c r="B56" s="13" t="n">
        <f aca="false">Scorecard!H9</f>
        <v>16.5618153535209</v>
      </c>
      <c r="C56" s="13" t="n">
        <f aca="false">Python_Ref!H7</f>
        <v>16.5618153535209</v>
      </c>
      <c r="D56" s="13" t="n">
        <f aca="false">ABS(B56-C56)</f>
        <v>0</v>
      </c>
      <c r="E56" s="3" t="str">
        <f aca="false">IF(D56&lt;=0.001,"PASS","FAIL")</f>
        <v>PASS</v>
      </c>
    </row>
    <row r="57" customFormat="false" ht="15" hidden="false" customHeight="false" outlineLevel="0" collapsed="false">
      <c r="A57" s="3" t="s">
        <v>238</v>
      </c>
      <c r="B57" s="13" t="n">
        <f aca="false">Scorecard!I9</f>
        <v>8</v>
      </c>
      <c r="C57" s="13" t="n">
        <f aca="false">Python_Ref!I7</f>
        <v>8</v>
      </c>
      <c r="D57" s="13" t="n">
        <f aca="false">ABS(B57-C57)</f>
        <v>0</v>
      </c>
      <c r="E57" s="3" t="str">
        <f aca="false">IF(D57&lt;=0.001,"PASS","FAIL")</f>
        <v>PASS</v>
      </c>
    </row>
    <row r="58" customFormat="false" ht="15" hidden="false" customHeight="false" outlineLevel="0" collapsed="false">
      <c r="A58" s="3" t="s">
        <v>239</v>
      </c>
      <c r="B58" s="13" t="n">
        <f aca="false">Scenarios!B8</f>
        <v>22.5672498842338</v>
      </c>
      <c r="C58" s="13" t="n">
        <f aca="false">Python_Ref!J7</f>
        <v>22.5672498842338</v>
      </c>
      <c r="D58" s="13" t="n">
        <f aca="false">ABS(B58-C58)</f>
        <v>0</v>
      </c>
      <c r="E58" s="3" t="str">
        <f aca="false">IF(D58&lt;=0.01,"PASS","FAIL")</f>
        <v>PASS</v>
      </c>
    </row>
    <row r="59" customFormat="false" ht="15" hidden="false" customHeight="false" outlineLevel="0" collapsed="false">
      <c r="A59" s="3" t="s">
        <v>240</v>
      </c>
      <c r="B59" s="13" t="n">
        <f aca="false">Scenarios!G8</f>
        <v>10</v>
      </c>
      <c r="C59" s="13" t="n">
        <f aca="false">Python_Ref!O7</f>
        <v>10</v>
      </c>
      <c r="D59" s="13" t="n">
        <f aca="false">ABS(B59-C59)</f>
        <v>0</v>
      </c>
      <c r="E59" s="3" t="str">
        <f aca="false">IF(D59&lt;=0,"PASS","FAIL")</f>
        <v>PASS</v>
      </c>
    </row>
    <row r="60" customFormat="false" ht="15" hidden="false" customHeight="false" outlineLevel="0" collapsed="false">
      <c r="A60" s="3" t="s">
        <v>241</v>
      </c>
      <c r="B60" s="13" t="n">
        <f aca="false">Scenarios!C8</f>
        <v>17.6666640325906</v>
      </c>
      <c r="C60" s="13" t="n">
        <f aca="false">Python_Ref!K7</f>
        <v>17.6666640325906</v>
      </c>
      <c r="D60" s="13" t="n">
        <f aca="false">ABS(B60-C60)</f>
        <v>0</v>
      </c>
      <c r="E60" s="3" t="str">
        <f aca="false">IF(D60&lt;=0.01,"PASS","FAIL")</f>
        <v>PASS</v>
      </c>
    </row>
    <row r="61" customFormat="false" ht="15" hidden="false" customHeight="false" outlineLevel="0" collapsed="false">
      <c r="A61" s="3" t="s">
        <v>242</v>
      </c>
      <c r="B61" s="13" t="n">
        <f aca="false">Scenarios!H8</f>
        <v>10</v>
      </c>
      <c r="C61" s="13" t="n">
        <f aca="false">Python_Ref!P7</f>
        <v>10</v>
      </c>
      <c r="D61" s="13" t="n">
        <f aca="false">ABS(B61-C61)</f>
        <v>0</v>
      </c>
      <c r="E61" s="3" t="str">
        <f aca="false">IF(D61&lt;=0,"PASS","FAIL")</f>
        <v>PASS</v>
      </c>
    </row>
    <row r="62" customFormat="false" ht="15" hidden="false" customHeight="false" outlineLevel="0" collapsed="false">
      <c r="A62" s="3" t="s">
        <v>243</v>
      </c>
      <c r="B62" s="13" t="n">
        <f aca="false">Scenarios!D8</f>
        <v>27.983359722147</v>
      </c>
      <c r="C62" s="13" t="n">
        <f aca="false">Python_Ref!L7</f>
        <v>27.983359722147</v>
      </c>
      <c r="D62" s="13" t="n">
        <f aca="false">ABS(B62-C62)</f>
        <v>0</v>
      </c>
      <c r="E62" s="3" t="str">
        <f aca="false">IF(D62&lt;=0.01,"PASS","FAIL")</f>
        <v>PASS</v>
      </c>
    </row>
    <row r="63" customFormat="false" ht="15" hidden="false" customHeight="false" outlineLevel="0" collapsed="false">
      <c r="A63" s="3" t="s">
        <v>244</v>
      </c>
      <c r="B63" s="13" t="n">
        <f aca="false">Scenarios!I8</f>
        <v>10</v>
      </c>
      <c r="C63" s="13" t="n">
        <f aca="false">Python_Ref!Q7</f>
        <v>10</v>
      </c>
      <c r="D63" s="13" t="n">
        <f aca="false">ABS(B63-C63)</f>
        <v>0</v>
      </c>
      <c r="E63" s="3" t="str">
        <f aca="false">IF(D63&lt;=0,"PASS","FAIL")</f>
        <v>PASS</v>
      </c>
    </row>
    <row r="64" customFormat="false" ht="15" hidden="false" customHeight="false" outlineLevel="0" collapsed="false">
      <c r="A64" s="3" t="s">
        <v>245</v>
      </c>
      <c r="B64" s="13" t="n">
        <f aca="false">Scenarios!E8</f>
        <v>31.2538633925249</v>
      </c>
      <c r="C64" s="13" t="n">
        <f aca="false">Python_Ref!M7</f>
        <v>31.2538633925249</v>
      </c>
      <c r="D64" s="13" t="n">
        <f aca="false">ABS(B64-C64)</f>
        <v>0</v>
      </c>
      <c r="E64" s="3" t="str">
        <f aca="false">IF(D64&lt;=0.01,"PASS","FAIL")</f>
        <v>PASS</v>
      </c>
    </row>
    <row r="65" customFormat="false" ht="15" hidden="false" customHeight="false" outlineLevel="0" collapsed="false">
      <c r="A65" s="3" t="s">
        <v>246</v>
      </c>
      <c r="B65" s="13" t="n">
        <f aca="false">Scenarios!J8</f>
        <v>8</v>
      </c>
      <c r="C65" s="13" t="n">
        <f aca="false">Python_Ref!R7</f>
        <v>8</v>
      </c>
      <c r="D65" s="13" t="n">
        <f aca="false">ABS(B65-C65)</f>
        <v>0</v>
      </c>
      <c r="E65" s="3" t="str">
        <f aca="false">IF(D65&lt;=0,"PASS","FAIL")</f>
        <v>PASS</v>
      </c>
    </row>
    <row r="66" customFormat="false" ht="15" hidden="false" customHeight="false" outlineLevel="0" collapsed="false">
      <c r="A66" s="3" t="s">
        <v>247</v>
      </c>
      <c r="B66" s="13" t="n">
        <f aca="false">Scenarios!F8</f>
        <v>24.3909753386549</v>
      </c>
      <c r="C66" s="13" t="n">
        <f aca="false">Python_Ref!N7</f>
        <v>24.3909753386549</v>
      </c>
      <c r="D66" s="13" t="n">
        <f aca="false">ABS(B66-C66)</f>
        <v>0</v>
      </c>
      <c r="E66" s="3" t="str">
        <f aca="false">IF(D66&lt;=0.01,"PASS","FAIL")</f>
        <v>PASS</v>
      </c>
    </row>
    <row r="67" customFormat="false" ht="15" hidden="false" customHeight="false" outlineLevel="0" collapsed="false">
      <c r="A67" s="3" t="s">
        <v>248</v>
      </c>
      <c r="B67" s="13" t="n">
        <f aca="false">Scenarios!K8</f>
        <v>10</v>
      </c>
      <c r="C67" s="13" t="n">
        <f aca="false">Python_Ref!S7</f>
        <v>10</v>
      </c>
      <c r="D67" s="13" t="n">
        <f aca="false">ABS(B67-C67)</f>
        <v>0</v>
      </c>
      <c r="E67" s="3" t="str">
        <f aca="false">IF(D67&lt;=0,"PASS","FAIL")</f>
        <v>PASS</v>
      </c>
    </row>
    <row r="68" customFormat="false" ht="15" hidden="false" customHeight="false" outlineLevel="0" collapsed="false">
      <c r="A68" s="3" t="s">
        <v>249</v>
      </c>
      <c r="B68" s="13" t="n">
        <f aca="false">Scorecard!B10</f>
        <v>1273606</v>
      </c>
      <c r="C68" s="13" t="n">
        <f aca="false">Python_Ref!B8</f>
        <v>1273606</v>
      </c>
      <c r="D68" s="13" t="n">
        <f aca="false">ABS(B68-C68)</f>
        <v>0</v>
      </c>
      <c r="E68" s="3" t="str">
        <f aca="false">IF(D68&lt;=0.5,"PASS","FAIL")</f>
        <v>PASS</v>
      </c>
    </row>
    <row r="69" customFormat="false" ht="15" hidden="false" customHeight="false" outlineLevel="0" collapsed="false">
      <c r="A69" s="3" t="s">
        <v>250</v>
      </c>
      <c r="B69" s="13" t="n">
        <f aca="false">Scorecard!D10</f>
        <v>5.929565820576</v>
      </c>
      <c r="C69" s="13" t="n">
        <f aca="false">Python_Ref!D8</f>
        <v>5.929565820576</v>
      </c>
      <c r="D69" s="13" t="n">
        <f aca="false">ABS(B69-C69)</f>
        <v>0</v>
      </c>
      <c r="E69" s="3" t="str">
        <f aca="false">IF(D69&lt;=0.001,"PASS","FAIL")</f>
        <v>PASS</v>
      </c>
    </row>
    <row r="70" customFormat="false" ht="15" hidden="false" customHeight="false" outlineLevel="0" collapsed="false">
      <c r="A70" s="3" t="s">
        <v>251</v>
      </c>
      <c r="B70" s="13" t="n">
        <f aca="false">Scorecard!E10</f>
        <v>5.52289867315867</v>
      </c>
      <c r="C70" s="13" t="n">
        <f aca="false">Python_Ref!E8</f>
        <v>5.52289867315867</v>
      </c>
      <c r="D70" s="13" t="n">
        <f aca="false">ABS(B70-C70)</f>
        <v>0</v>
      </c>
      <c r="E70" s="3" t="str">
        <f aca="false">IF(D70&lt;=0.001,"PASS","FAIL")</f>
        <v>PASS</v>
      </c>
    </row>
    <row r="71" customFormat="false" ht="15" hidden="false" customHeight="false" outlineLevel="0" collapsed="false">
      <c r="A71" s="3" t="s">
        <v>252</v>
      </c>
      <c r="B71" s="13" t="n">
        <f aca="false">Scorecard!F10</f>
        <v>5.9081244765157</v>
      </c>
      <c r="C71" s="13" t="n">
        <f aca="false">Python_Ref!F8</f>
        <v>5.9081244765157</v>
      </c>
      <c r="D71" s="13" t="n">
        <f aca="false">ABS(B71-C71)</f>
        <v>0</v>
      </c>
      <c r="E71" s="3" t="str">
        <f aca="false">IF(D71&lt;=0.001,"PASS","FAIL")</f>
        <v>PASS</v>
      </c>
    </row>
    <row r="72" customFormat="false" ht="15" hidden="false" customHeight="false" outlineLevel="0" collapsed="false">
      <c r="A72" s="3" t="s">
        <v>253</v>
      </c>
      <c r="B72" s="13" t="n">
        <f aca="false">Scenarios!B9</f>
        <v>60.8105480510694</v>
      </c>
      <c r="C72" s="13" t="n">
        <f aca="false">Python_Ref!J8</f>
        <v>60.8105480510694</v>
      </c>
      <c r="D72" s="13" t="n">
        <f aca="false">ABS(B72-C72)</f>
        <v>0</v>
      </c>
      <c r="E72" s="3" t="str">
        <f aca="false">IF(D72&lt;=0.01,"PASS","FAIL")</f>
        <v>PASS</v>
      </c>
    </row>
    <row r="73" customFormat="false" ht="15" hidden="false" customHeight="false" outlineLevel="0" collapsed="false">
      <c r="A73" s="3" t="s">
        <v>254</v>
      </c>
      <c r="B73" s="13" t="n">
        <f aca="false">Scenarios!G9</f>
        <v>3</v>
      </c>
      <c r="C73" s="13" t="n">
        <f aca="false">Python_Ref!O8</f>
        <v>3</v>
      </c>
      <c r="D73" s="13" t="n">
        <f aca="false">ABS(B73-C73)</f>
        <v>0</v>
      </c>
      <c r="E73" s="3" t="str">
        <f aca="false">IF(D73&lt;=0,"PASS","FAIL")</f>
        <v>PASS</v>
      </c>
    </row>
    <row r="74" customFormat="false" ht="15" hidden="false" customHeight="false" outlineLevel="0" collapsed="false">
      <c r="A74" s="3" t="s">
        <v>255</v>
      </c>
      <c r="B74" s="13" t="n">
        <f aca="false">Scenarios!C9</f>
        <v>63.0159842971727</v>
      </c>
      <c r="C74" s="13" t="n">
        <f aca="false">Python_Ref!K8</f>
        <v>63.0159842971728</v>
      </c>
      <c r="D74" s="13" t="n">
        <f aca="false">ABS(B74-C74)</f>
        <v>0</v>
      </c>
      <c r="E74" s="3" t="str">
        <f aca="false">IF(D74&lt;=0.01,"PASS","FAIL")</f>
        <v>PASS</v>
      </c>
    </row>
    <row r="75" customFormat="false" ht="15" hidden="false" customHeight="false" outlineLevel="0" collapsed="false">
      <c r="A75" s="3" t="s">
        <v>256</v>
      </c>
      <c r="B75" s="13" t="n">
        <f aca="false">Scenarios!H9</f>
        <v>3</v>
      </c>
      <c r="C75" s="13" t="n">
        <f aca="false">Python_Ref!P8</f>
        <v>3</v>
      </c>
      <c r="D75" s="13" t="n">
        <f aca="false">ABS(B75-C75)</f>
        <v>0</v>
      </c>
      <c r="E75" s="3" t="str">
        <f aca="false">IF(D75&lt;=0,"PASS","FAIL")</f>
        <v>PASS</v>
      </c>
    </row>
    <row r="76" customFormat="false" ht="15" hidden="false" customHeight="false" outlineLevel="0" collapsed="false">
      <c r="A76" s="3" t="s">
        <v>257</v>
      </c>
      <c r="B76" s="13" t="n">
        <f aca="false">Scenarios!D9</f>
        <v>57.3437027386432</v>
      </c>
      <c r="C76" s="13" t="n">
        <f aca="false">Python_Ref!L8</f>
        <v>57.3437027386432</v>
      </c>
      <c r="D76" s="13" t="n">
        <f aca="false">ABS(B76-C76)</f>
        <v>0</v>
      </c>
      <c r="E76" s="3" t="str">
        <f aca="false">IF(D76&lt;=0.01,"PASS","FAIL")</f>
        <v>PASS</v>
      </c>
    </row>
    <row r="77" customFormat="false" ht="15" hidden="false" customHeight="false" outlineLevel="0" collapsed="false">
      <c r="A77" s="3" t="s">
        <v>258</v>
      </c>
      <c r="B77" s="13" t="n">
        <f aca="false">Scenarios!I9</f>
        <v>2</v>
      </c>
      <c r="C77" s="13" t="n">
        <f aca="false">Python_Ref!Q8</f>
        <v>2</v>
      </c>
      <c r="D77" s="13" t="n">
        <f aca="false">ABS(B77-C77)</f>
        <v>0</v>
      </c>
      <c r="E77" s="3" t="str">
        <f aca="false">IF(D77&lt;=0,"PASS","FAIL")</f>
        <v>PASS</v>
      </c>
    </row>
    <row r="78" customFormat="false" ht="15" hidden="false" customHeight="false" outlineLevel="0" collapsed="false">
      <c r="A78" s="3" t="s">
        <v>259</v>
      </c>
      <c r="B78" s="13" t="n">
        <f aca="false">Scenarios!E9</f>
        <v>60.1178420418086</v>
      </c>
      <c r="C78" s="13" t="n">
        <f aca="false">Python_Ref!M8</f>
        <v>60.1178420418086</v>
      </c>
      <c r="D78" s="13" t="n">
        <f aca="false">ABS(B78-C78)</f>
        <v>0</v>
      </c>
      <c r="E78" s="3" t="str">
        <f aca="false">IF(D78&lt;=0.01,"PASS","FAIL")</f>
        <v>PASS</v>
      </c>
    </row>
    <row r="79" customFormat="false" ht="15" hidden="false" customHeight="false" outlineLevel="0" collapsed="false">
      <c r="A79" s="3" t="s">
        <v>260</v>
      </c>
      <c r="B79" s="13" t="n">
        <f aca="false">Scenarios!J9</f>
        <v>3</v>
      </c>
      <c r="C79" s="13" t="n">
        <f aca="false">Python_Ref!R8</f>
        <v>3</v>
      </c>
      <c r="D79" s="13" t="n">
        <f aca="false">ABS(B79-C79)</f>
        <v>0</v>
      </c>
      <c r="E79" s="3" t="str">
        <f aca="false">IF(D79&lt;=0,"PASS","FAIL")</f>
        <v>PASS</v>
      </c>
    </row>
    <row r="80" customFormat="false" ht="15" hidden="false" customHeight="false" outlineLevel="0" collapsed="false">
      <c r="A80" s="3" t="s">
        <v>261</v>
      </c>
      <c r="B80" s="13" t="n">
        <f aca="false">Scenarios!F9</f>
        <v>58.8494953772713</v>
      </c>
      <c r="C80" s="13" t="n">
        <f aca="false">Python_Ref!N8</f>
        <v>58.8494953772713</v>
      </c>
      <c r="D80" s="13" t="n">
        <f aca="false">ABS(B80-C80)</f>
        <v>0</v>
      </c>
      <c r="E80" s="3" t="str">
        <f aca="false">IF(D80&lt;=0.01,"PASS","FAIL")</f>
        <v>PASS</v>
      </c>
    </row>
    <row r="81" customFormat="false" ht="15" hidden="false" customHeight="false" outlineLevel="0" collapsed="false">
      <c r="A81" s="3" t="s">
        <v>262</v>
      </c>
      <c r="B81" s="13" t="n">
        <f aca="false">Scenarios!K9</f>
        <v>3</v>
      </c>
      <c r="C81" s="13" t="n">
        <f aca="false">Python_Ref!S8</f>
        <v>3</v>
      </c>
      <c r="D81" s="13" t="n">
        <f aca="false">ABS(B81-C81)</f>
        <v>0</v>
      </c>
      <c r="E81" s="3" t="str">
        <f aca="false">IF(D81&lt;=0,"PASS","FAIL")</f>
        <v>PASS</v>
      </c>
    </row>
    <row r="82" customFormat="false" ht="15" hidden="false" customHeight="false" outlineLevel="0" collapsed="false">
      <c r="A82" s="3" t="s">
        <v>263</v>
      </c>
      <c r="B82" s="13" t="n">
        <f aca="false">Scorecard!B11</f>
        <v>257935</v>
      </c>
      <c r="C82" s="13" t="n">
        <f aca="false">Python_Ref!B9</f>
        <v>257935</v>
      </c>
      <c r="D82" s="13" t="n">
        <f aca="false">ABS(B82-C82)</f>
        <v>0</v>
      </c>
      <c r="E82" s="3" t="str">
        <f aca="false">IF(D82&lt;=0.5,"PASS","FAIL")</f>
        <v>PASS</v>
      </c>
    </row>
    <row r="83" customFormat="false" ht="15" hidden="false" customHeight="false" outlineLevel="0" collapsed="false">
      <c r="A83" s="3" t="s">
        <v>264</v>
      </c>
      <c r="B83" s="13" t="n">
        <f aca="false">Scorecard!D11</f>
        <v>5.52509921040789</v>
      </c>
      <c r="C83" s="13" t="n">
        <f aca="false">Python_Ref!D9</f>
        <v>5.52509921040789</v>
      </c>
      <c r="D83" s="13" t="n">
        <f aca="false">ABS(B83-C83)</f>
        <v>0</v>
      </c>
      <c r="E83" s="3" t="str">
        <f aca="false">IF(D83&lt;=0.001,"PASS","FAIL")</f>
        <v>PASS</v>
      </c>
    </row>
    <row r="84" customFormat="false" ht="15" hidden="false" customHeight="false" outlineLevel="0" collapsed="false">
      <c r="A84" s="3" t="s">
        <v>265</v>
      </c>
      <c r="B84" s="13" t="n">
        <f aca="false">Scorecard!E11</f>
        <v>4.83670258488185</v>
      </c>
      <c r="C84" s="13" t="n">
        <f aca="false">Python_Ref!E9</f>
        <v>4.83670258488185</v>
      </c>
      <c r="D84" s="13" t="n">
        <f aca="false">ABS(B84-C84)</f>
        <v>0</v>
      </c>
      <c r="E84" s="3" t="str">
        <f aca="false">IF(D84&lt;=0.001,"PASS","FAIL")</f>
        <v>PASS</v>
      </c>
    </row>
    <row r="85" customFormat="false" ht="15" hidden="false" customHeight="false" outlineLevel="0" collapsed="false">
      <c r="A85" s="3" t="s">
        <v>266</v>
      </c>
      <c r="B85" s="13" t="n">
        <f aca="false">Scorecard!F11</f>
        <v>4.31112554038585</v>
      </c>
      <c r="C85" s="13" t="n">
        <f aca="false">Python_Ref!F9</f>
        <v>4.31112554038584</v>
      </c>
      <c r="D85" s="13" t="n">
        <f aca="false">ABS(B85-C85)</f>
        <v>0</v>
      </c>
      <c r="E85" s="3" t="str">
        <f aca="false">IF(D85&lt;=0.001,"PASS","FAIL")</f>
        <v>PASS</v>
      </c>
    </row>
    <row r="86" customFormat="false" ht="15" hidden="false" customHeight="false" outlineLevel="0" collapsed="false">
      <c r="A86" s="3" t="s">
        <v>267</v>
      </c>
      <c r="B86" s="13" t="n">
        <f aca="false">Scenarios!B10</f>
        <v>32.1369885543345</v>
      </c>
      <c r="C86" s="13" t="n">
        <f aca="false">Python_Ref!J9</f>
        <v>32.1369885543345</v>
      </c>
      <c r="D86" s="13" t="n">
        <f aca="false">ABS(B86-C86)</f>
        <v>0</v>
      </c>
      <c r="E86" s="3" t="str">
        <f aca="false">IF(D86&lt;=0.01,"PASS","FAIL")</f>
        <v>PASS</v>
      </c>
    </row>
    <row r="87" customFormat="false" ht="15" hidden="false" customHeight="false" outlineLevel="0" collapsed="false">
      <c r="A87" s="3" t="s">
        <v>268</v>
      </c>
      <c r="B87" s="13" t="n">
        <f aca="false">Scenarios!G10</f>
        <v>8</v>
      </c>
      <c r="C87" s="13" t="n">
        <f aca="false">Python_Ref!O9</f>
        <v>8</v>
      </c>
      <c r="D87" s="13" t="n">
        <f aca="false">ABS(B87-C87)</f>
        <v>0</v>
      </c>
      <c r="E87" s="3" t="str">
        <f aca="false">IF(D87&lt;=0,"PASS","FAIL")</f>
        <v>PASS</v>
      </c>
    </row>
    <row r="88" customFormat="false" ht="15" hidden="false" customHeight="false" outlineLevel="0" collapsed="false">
      <c r="A88" s="3" t="s">
        <v>269</v>
      </c>
      <c r="B88" s="13" t="n">
        <f aca="false">Scenarios!C10</f>
        <v>33.4551061171644</v>
      </c>
      <c r="C88" s="13" t="n">
        <f aca="false">Python_Ref!K9</f>
        <v>33.4551061171644</v>
      </c>
      <c r="D88" s="13" t="n">
        <f aca="false">ABS(B88-C88)</f>
        <v>0</v>
      </c>
      <c r="E88" s="3" t="str">
        <f aca="false">IF(D88&lt;=0.01,"PASS","FAIL")</f>
        <v>PASS</v>
      </c>
    </row>
    <row r="89" customFormat="false" ht="15" hidden="false" customHeight="false" outlineLevel="0" collapsed="false">
      <c r="A89" s="3" t="s">
        <v>270</v>
      </c>
      <c r="B89" s="13" t="n">
        <f aca="false">Scenarios!H10</f>
        <v>8</v>
      </c>
      <c r="C89" s="13" t="n">
        <f aca="false">Python_Ref!P9</f>
        <v>8</v>
      </c>
      <c r="D89" s="13" t="n">
        <f aca="false">ABS(B89-C89)</f>
        <v>0</v>
      </c>
      <c r="E89" s="3" t="str">
        <f aca="false">IF(D89&lt;=0,"PASS","FAIL")</f>
        <v>PASS</v>
      </c>
    </row>
    <row r="90" customFormat="false" ht="15" hidden="false" customHeight="false" outlineLevel="0" collapsed="false">
      <c r="A90" s="3" t="s">
        <v>271</v>
      </c>
      <c r="B90" s="13" t="n">
        <f aca="false">Scenarios!D10</f>
        <v>35.1480236678747</v>
      </c>
      <c r="C90" s="13" t="n">
        <f aca="false">Python_Ref!L9</f>
        <v>35.1480236678747</v>
      </c>
      <c r="D90" s="13" t="n">
        <f aca="false">ABS(B90-C90)</f>
        <v>0</v>
      </c>
      <c r="E90" s="3" t="str">
        <f aca="false">IF(D90&lt;=0.01,"PASS","FAIL")</f>
        <v>PASS</v>
      </c>
    </row>
    <row r="91" customFormat="false" ht="15" hidden="false" customHeight="false" outlineLevel="0" collapsed="false">
      <c r="A91" s="3" t="s">
        <v>272</v>
      </c>
      <c r="B91" s="13" t="n">
        <f aca="false">Scenarios!I10</f>
        <v>6</v>
      </c>
      <c r="C91" s="13" t="n">
        <f aca="false">Python_Ref!Q9</f>
        <v>6</v>
      </c>
      <c r="D91" s="13" t="n">
        <f aca="false">ABS(B91-C91)</f>
        <v>0</v>
      </c>
      <c r="E91" s="3" t="str">
        <f aca="false">IF(D91&lt;=0,"PASS","FAIL")</f>
        <v>PASS</v>
      </c>
    </row>
    <row r="92" customFormat="false" ht="15" hidden="false" customHeight="false" outlineLevel="0" collapsed="false">
      <c r="A92" s="3" t="s">
        <v>273</v>
      </c>
      <c r="B92" s="13" t="n">
        <f aca="false">Scenarios!E10</f>
        <v>22.6480236678747</v>
      </c>
      <c r="C92" s="13" t="n">
        <f aca="false">Python_Ref!M9</f>
        <v>22.6480236678747</v>
      </c>
      <c r="D92" s="13" t="n">
        <f aca="false">ABS(B92-C92)</f>
        <v>0</v>
      </c>
      <c r="E92" s="3" t="str">
        <f aca="false">IF(D92&lt;=0.01,"PASS","FAIL")</f>
        <v>PASS</v>
      </c>
    </row>
    <row r="93" customFormat="false" ht="15" hidden="false" customHeight="false" outlineLevel="0" collapsed="false">
      <c r="A93" s="3" t="s">
        <v>274</v>
      </c>
      <c r="B93" s="13" t="n">
        <f aca="false">Scenarios!J10</f>
        <v>10</v>
      </c>
      <c r="C93" s="13" t="n">
        <f aca="false">Python_Ref!R9</f>
        <v>10</v>
      </c>
      <c r="D93" s="13" t="n">
        <f aca="false">ABS(B93-C93)</f>
        <v>0</v>
      </c>
      <c r="E93" s="3" t="str">
        <f aca="false">IF(D93&lt;=0,"PASS","FAIL")</f>
        <v>PASS</v>
      </c>
    </row>
    <row r="94" customFormat="false" ht="15" hidden="false" customHeight="false" outlineLevel="0" collapsed="false">
      <c r="A94" s="3" t="s">
        <v>275</v>
      </c>
      <c r="B94" s="13" t="n">
        <f aca="false">Scenarios!F10</f>
        <v>32.6362351256598</v>
      </c>
      <c r="C94" s="13" t="n">
        <f aca="false">Python_Ref!N9</f>
        <v>32.6362351256598</v>
      </c>
      <c r="D94" s="13" t="n">
        <f aca="false">ABS(B94-C94)</f>
        <v>0</v>
      </c>
      <c r="E94" s="3" t="str">
        <f aca="false">IF(D94&lt;=0.01,"PASS","FAIL")</f>
        <v>PASS</v>
      </c>
    </row>
    <row r="95" customFormat="false" ht="15" hidden="false" customHeight="false" outlineLevel="0" collapsed="false">
      <c r="A95" s="3" t="s">
        <v>276</v>
      </c>
      <c r="B95" s="13" t="n">
        <f aca="false">Scenarios!K10</f>
        <v>8</v>
      </c>
      <c r="C95" s="13" t="n">
        <f aca="false">Python_Ref!S9</f>
        <v>8</v>
      </c>
      <c r="D95" s="13" t="n">
        <f aca="false">ABS(B95-C95)</f>
        <v>0</v>
      </c>
      <c r="E95" s="3" t="str">
        <f aca="false">IF(D95&lt;=0,"PASS","FAIL")</f>
        <v>PASS</v>
      </c>
    </row>
    <row r="96" customFormat="false" ht="15" hidden="false" customHeight="false" outlineLevel="0" collapsed="false">
      <c r="A96" s="3" t="s">
        <v>277</v>
      </c>
      <c r="B96" s="13" t="n">
        <f aca="false">Scorecard!B12</f>
        <v>1105605</v>
      </c>
      <c r="C96" s="13" t="n">
        <f aca="false">Python_Ref!B10</f>
        <v>1105605</v>
      </c>
      <c r="D96" s="13" t="n">
        <f aca="false">ABS(B96-C96)</f>
        <v>0</v>
      </c>
      <c r="E96" s="3" t="str">
        <f aca="false">IF(D96&lt;=0.5,"PASS","FAIL")</f>
        <v>PASS</v>
      </c>
    </row>
    <row r="97" customFormat="false" ht="15" hidden="false" customHeight="false" outlineLevel="0" collapsed="false">
      <c r="A97" s="3" t="s">
        <v>278</v>
      </c>
      <c r="B97" s="13" t="n">
        <f aca="false">Scorecard!D12</f>
        <v>5.53674009786161</v>
      </c>
      <c r="C97" s="13" t="n">
        <f aca="false">Python_Ref!D10</f>
        <v>5.5367400978616</v>
      </c>
      <c r="D97" s="13" t="n">
        <f aca="false">ABS(B97-C97)</f>
        <v>0</v>
      </c>
      <c r="E97" s="3" t="str">
        <f aca="false">IF(D97&lt;=0.001,"PASS","FAIL")</f>
        <v>PASS</v>
      </c>
    </row>
    <row r="98" customFormat="false" ht="15" hidden="false" customHeight="false" outlineLevel="0" collapsed="false">
      <c r="A98" s="3" t="s">
        <v>279</v>
      </c>
      <c r="B98" s="13" t="n">
        <f aca="false">Scorecard!E12</f>
        <v>6.25889578626508</v>
      </c>
      <c r="C98" s="13" t="n">
        <f aca="false">Python_Ref!E10</f>
        <v>6.25889578626508</v>
      </c>
      <c r="D98" s="13" t="n">
        <f aca="false">ABS(B98-C98)</f>
        <v>0</v>
      </c>
      <c r="E98" s="3" t="str">
        <f aca="false">IF(D98&lt;=0.001,"PASS","FAIL")</f>
        <v>PASS</v>
      </c>
    </row>
    <row r="99" customFormat="false" ht="15" hidden="false" customHeight="false" outlineLevel="0" collapsed="false">
      <c r="A99" s="3" t="s">
        <v>280</v>
      </c>
      <c r="B99" s="13" t="n">
        <f aca="false">Scorecard!F12</f>
        <v>5.80415880596183</v>
      </c>
      <c r="C99" s="13" t="n">
        <f aca="false">Python_Ref!F10</f>
        <v>5.80415880596183</v>
      </c>
      <c r="D99" s="13" t="n">
        <f aca="false">ABS(B99-C99)</f>
        <v>0</v>
      </c>
      <c r="E99" s="3" t="str">
        <f aca="false">IF(D99&lt;=0.001,"PASS","FAIL")</f>
        <v>PASS</v>
      </c>
    </row>
    <row r="100" customFormat="false" ht="15" hidden="false" customHeight="false" outlineLevel="0" collapsed="false">
      <c r="A100" s="3" t="s">
        <v>281</v>
      </c>
      <c r="B100" s="13" t="n">
        <f aca="false">Scorecard!H12</f>
        <v>20.1914611491703</v>
      </c>
      <c r="C100" s="13" t="n">
        <f aca="false">Python_Ref!H10</f>
        <v>20.1914611491703</v>
      </c>
      <c r="D100" s="13" t="n">
        <f aca="false">ABS(B100-C100)</f>
        <v>0</v>
      </c>
      <c r="E100" s="3" t="str">
        <f aca="false">IF(D100&lt;=0.001,"PASS","FAIL")</f>
        <v>PASS</v>
      </c>
    </row>
    <row r="101" customFormat="false" ht="15" hidden="false" customHeight="false" outlineLevel="0" collapsed="false">
      <c r="A101" s="3" t="s">
        <v>282</v>
      </c>
      <c r="B101" s="13" t="n">
        <f aca="false">Scorecard!I12</f>
        <v>53.1641805113162</v>
      </c>
      <c r="C101" s="13" t="n">
        <f aca="false">Python_Ref!I10</f>
        <v>53.1641805113162</v>
      </c>
      <c r="D101" s="13" t="n">
        <f aca="false">ABS(B101-C101)</f>
        <v>0</v>
      </c>
      <c r="E101" s="3" t="str">
        <f aca="false">IF(D101&lt;=0.001,"PASS","FAIL")</f>
        <v>PASS</v>
      </c>
    </row>
    <row r="102" customFormat="false" ht="15" hidden="false" customHeight="false" outlineLevel="0" collapsed="false">
      <c r="A102" s="3" t="s">
        <v>283</v>
      </c>
      <c r="B102" s="13" t="n">
        <f aca="false">Scenarios!B11</f>
        <v>63.2494964805595</v>
      </c>
      <c r="C102" s="13" t="n">
        <f aca="false">Python_Ref!J10</f>
        <v>63.2494964805596</v>
      </c>
      <c r="D102" s="13" t="n">
        <f aca="false">ABS(B102-C102)</f>
        <v>0</v>
      </c>
      <c r="E102" s="3" t="str">
        <f aca="false">IF(D102&lt;=0.01,"PASS","FAIL")</f>
        <v>PASS</v>
      </c>
    </row>
    <row r="103" customFormat="false" ht="15" hidden="false" customHeight="false" outlineLevel="0" collapsed="false">
      <c r="A103" s="3" t="s">
        <v>284</v>
      </c>
      <c r="B103" s="13" t="n">
        <f aca="false">Scenarios!G11</f>
        <v>2</v>
      </c>
      <c r="C103" s="13" t="n">
        <f aca="false">Python_Ref!O10</f>
        <v>2</v>
      </c>
      <c r="D103" s="13" t="n">
        <f aca="false">ABS(B103-C103)</f>
        <v>0</v>
      </c>
      <c r="E103" s="3" t="str">
        <f aca="false">IF(D103&lt;=0,"PASS","FAIL")</f>
        <v>PASS</v>
      </c>
    </row>
    <row r="104" customFormat="false" ht="15" hidden="false" customHeight="false" outlineLevel="0" collapsed="false">
      <c r="A104" s="3" t="s">
        <v>285</v>
      </c>
      <c r="B104" s="13" t="n">
        <f aca="false">Scenarios!C11</f>
        <v>70.3113227318214</v>
      </c>
      <c r="C104" s="13" t="n">
        <f aca="false">Python_Ref!K10</f>
        <v>70.3113227318215</v>
      </c>
      <c r="D104" s="13" t="n">
        <f aca="false">ABS(B104-C104)</f>
        <v>0</v>
      </c>
      <c r="E104" s="3" t="str">
        <f aca="false">IF(D104&lt;=0.01,"PASS","FAIL")</f>
        <v>PASS</v>
      </c>
    </row>
    <row r="105" customFormat="false" ht="15" hidden="false" customHeight="false" outlineLevel="0" collapsed="false">
      <c r="A105" s="3" t="s">
        <v>286</v>
      </c>
      <c r="B105" s="13" t="n">
        <f aca="false">Scenarios!H11</f>
        <v>2</v>
      </c>
      <c r="C105" s="13" t="n">
        <f aca="false">Python_Ref!P10</f>
        <v>2</v>
      </c>
      <c r="D105" s="13" t="n">
        <f aca="false">ABS(B105-C105)</f>
        <v>0</v>
      </c>
      <c r="E105" s="3" t="str">
        <f aca="false">IF(D105&lt;=0,"PASS","FAIL")</f>
        <v>PASS</v>
      </c>
    </row>
    <row r="106" customFormat="false" ht="15" hidden="false" customHeight="false" outlineLevel="0" collapsed="false">
      <c r="A106" s="3" t="s">
        <v>287</v>
      </c>
      <c r="B106" s="13" t="n">
        <f aca="false">Scenarios!D11</f>
        <v>50.8734353218669</v>
      </c>
      <c r="C106" s="13" t="n">
        <f aca="false">Python_Ref!L10</f>
        <v>50.873435321867</v>
      </c>
      <c r="D106" s="13" t="n">
        <f aca="false">ABS(B106-C106)</f>
        <v>0</v>
      </c>
      <c r="E106" s="3" t="str">
        <f aca="false">IF(D106&lt;=0.01,"PASS","FAIL")</f>
        <v>PASS</v>
      </c>
    </row>
    <row r="107" customFormat="false" ht="15" hidden="false" customHeight="false" outlineLevel="0" collapsed="false">
      <c r="A107" s="3" t="s">
        <v>288</v>
      </c>
      <c r="B107" s="13" t="n">
        <f aca="false">Scenarios!I11</f>
        <v>3</v>
      </c>
      <c r="C107" s="13" t="n">
        <f aca="false">Python_Ref!Q10</f>
        <v>3</v>
      </c>
      <c r="D107" s="13" t="n">
        <f aca="false">ABS(B107-C107)</f>
        <v>0</v>
      </c>
      <c r="E107" s="3" t="str">
        <f aca="false">IF(D107&lt;=0,"PASS","FAIL")</f>
        <v>PASS</v>
      </c>
    </row>
    <row r="108" customFormat="false" ht="15" hidden="false" customHeight="false" outlineLevel="0" collapsed="false">
      <c r="A108" s="3" t="s">
        <v>289</v>
      </c>
      <c r="B108" s="13" t="n">
        <f aca="false">Scenarios!E11</f>
        <v>58.9215579380216</v>
      </c>
      <c r="C108" s="13" t="n">
        <f aca="false">Python_Ref!M10</f>
        <v>58.9215579380216</v>
      </c>
      <c r="D108" s="13" t="n">
        <f aca="false">ABS(B108-C108)</f>
        <v>0</v>
      </c>
      <c r="E108" s="3" t="str">
        <f aca="false">IF(D108&lt;=0.01,"PASS","FAIL")</f>
        <v>PASS</v>
      </c>
    </row>
    <row r="109" customFormat="false" ht="15" hidden="false" customHeight="false" outlineLevel="0" collapsed="false">
      <c r="A109" s="3" t="s">
        <v>290</v>
      </c>
      <c r="B109" s="13" t="n">
        <f aca="false">Scenarios!J11</f>
        <v>4</v>
      </c>
      <c r="C109" s="13" t="n">
        <f aca="false">Python_Ref!R10</f>
        <v>4</v>
      </c>
      <c r="D109" s="13" t="n">
        <f aca="false">ABS(B109-C109)</f>
        <v>0</v>
      </c>
      <c r="E109" s="3" t="str">
        <f aca="false">IF(D109&lt;=0,"PASS","FAIL")</f>
        <v>PASS</v>
      </c>
    </row>
    <row r="110" customFormat="false" ht="15" hidden="false" customHeight="false" outlineLevel="0" collapsed="false">
      <c r="A110" s="3" t="s">
        <v>291</v>
      </c>
      <c r="B110" s="13" t="n">
        <f aca="false">Scenarios!F11</f>
        <v>62.0391717296056</v>
      </c>
      <c r="C110" s="13" t="n">
        <f aca="false">Python_Ref!N10</f>
        <v>62.0391717296057</v>
      </c>
      <c r="D110" s="13" t="n">
        <f aca="false">ABS(B110-C110)</f>
        <v>0</v>
      </c>
      <c r="E110" s="3" t="str">
        <f aca="false">IF(D110&lt;=0.01,"PASS","FAIL")</f>
        <v>PASS</v>
      </c>
    </row>
    <row r="111" customFormat="false" ht="15" hidden="false" customHeight="false" outlineLevel="0" collapsed="false">
      <c r="A111" s="3" t="s">
        <v>292</v>
      </c>
      <c r="B111" s="13" t="n">
        <f aca="false">Scenarios!K11</f>
        <v>2</v>
      </c>
      <c r="C111" s="13" t="n">
        <f aca="false">Python_Ref!S10</f>
        <v>2</v>
      </c>
      <c r="D111" s="13" t="n">
        <f aca="false">ABS(B111-C111)</f>
        <v>0</v>
      </c>
      <c r="E111" s="3" t="str">
        <f aca="false">IF(D111&lt;=0,"PASS","FAIL")</f>
        <v>PASS</v>
      </c>
    </row>
    <row r="112" customFormat="false" ht="15" hidden="false" customHeight="false" outlineLevel="0" collapsed="false">
      <c r="A112" s="3" t="s">
        <v>293</v>
      </c>
      <c r="B112" s="13" t="n">
        <f aca="false">Scorecard!B13</f>
        <v>1920338</v>
      </c>
      <c r="C112" s="13" t="n">
        <f aca="false">Python_Ref!B11</f>
        <v>1920338</v>
      </c>
      <c r="D112" s="13" t="n">
        <f aca="false">ABS(B112-C112)</f>
        <v>0</v>
      </c>
      <c r="E112" s="3" t="str">
        <f aca="false">IF(D112&lt;=0.5,"PASS","FAIL")</f>
        <v>PASS</v>
      </c>
    </row>
    <row r="113" customFormat="false" ht="15" hidden="false" customHeight="false" outlineLevel="0" collapsed="false">
      <c r="A113" s="3" t="s">
        <v>294</v>
      </c>
      <c r="B113" s="13" t="n">
        <f aca="false">Scorecard!D13</f>
        <v>3.10428881300604</v>
      </c>
      <c r="C113" s="13" t="n">
        <f aca="false">Python_Ref!D11</f>
        <v>3.10428881300604</v>
      </c>
      <c r="D113" s="13" t="n">
        <f aca="false">ABS(B113-C113)</f>
        <v>0</v>
      </c>
      <c r="E113" s="3" t="str">
        <f aca="false">IF(D113&lt;=0.001,"PASS","FAIL")</f>
        <v>PASS</v>
      </c>
    </row>
    <row r="114" customFormat="false" ht="15" hidden="false" customHeight="false" outlineLevel="0" collapsed="false">
      <c r="A114" s="3" t="s">
        <v>295</v>
      </c>
      <c r="B114" s="13" t="n">
        <f aca="false">Scorecard!E13</f>
        <v>3.09433632998655</v>
      </c>
      <c r="C114" s="13" t="n">
        <f aca="false">Python_Ref!E11</f>
        <v>3.09433632998655</v>
      </c>
      <c r="D114" s="13" t="n">
        <f aca="false">ABS(B114-C114)</f>
        <v>0</v>
      </c>
      <c r="E114" s="3" t="str">
        <f aca="false">IF(D114&lt;=0.001,"PASS","FAIL")</f>
        <v>PASS</v>
      </c>
    </row>
    <row r="115" customFormat="false" ht="15" hidden="false" customHeight="false" outlineLevel="0" collapsed="false">
      <c r="A115" s="3" t="s">
        <v>296</v>
      </c>
      <c r="B115" s="13" t="n">
        <f aca="false">Scorecard!F13</f>
        <v>4.93387448066667</v>
      </c>
      <c r="C115" s="13" t="n">
        <f aca="false">Python_Ref!F11</f>
        <v>4.93387448066667</v>
      </c>
      <c r="D115" s="13" t="n">
        <f aca="false">ABS(B115-C115)</f>
        <v>0</v>
      </c>
      <c r="E115" s="3" t="str">
        <f aca="false">IF(D115&lt;=0.001,"PASS","FAIL")</f>
        <v>PASS</v>
      </c>
    </row>
    <row r="116" customFormat="false" ht="15" hidden="false" customHeight="false" outlineLevel="0" collapsed="false">
      <c r="A116" s="3" t="s">
        <v>297</v>
      </c>
      <c r="B116" s="13" t="n">
        <f aca="false">Scorecard!H13</f>
        <v>19.270069304254</v>
      </c>
      <c r="C116" s="13" t="n">
        <f aca="false">Python_Ref!H11</f>
        <v>19.270069304254</v>
      </c>
      <c r="D116" s="13" t="n">
        <f aca="false">ABS(B116-C116)</f>
        <v>0</v>
      </c>
      <c r="E116" s="3" t="str">
        <f aca="false">IF(D116&lt;=0.001,"PASS","FAIL")</f>
        <v>PASS</v>
      </c>
    </row>
    <row r="117" customFormat="false" ht="15" hidden="false" customHeight="false" outlineLevel="0" collapsed="false">
      <c r="A117" s="3" t="s">
        <v>298</v>
      </c>
      <c r="B117" s="13" t="n">
        <f aca="false">Scorecard!I13</f>
        <v>19</v>
      </c>
      <c r="C117" s="13" t="n">
        <f aca="false">Python_Ref!I11</f>
        <v>19</v>
      </c>
      <c r="D117" s="13" t="n">
        <f aca="false">ABS(B117-C117)</f>
        <v>0</v>
      </c>
      <c r="E117" s="3" t="str">
        <f aca="false">IF(D117&lt;=0.001,"PASS","FAIL")</f>
        <v>PASS</v>
      </c>
    </row>
    <row r="118" customFormat="false" ht="15" hidden="false" customHeight="false" outlineLevel="0" collapsed="false">
      <c r="A118" s="3" t="s">
        <v>299</v>
      </c>
      <c r="B118" s="13" t="n">
        <f aca="false">Scenarios!B12</f>
        <v>43.5060581659278</v>
      </c>
      <c r="C118" s="13" t="n">
        <f aca="false">Python_Ref!J11</f>
        <v>43.5060581659277</v>
      </c>
      <c r="D118" s="13" t="n">
        <f aca="false">ABS(B118-C118)</f>
        <v>0</v>
      </c>
      <c r="E118" s="3" t="str">
        <f aca="false">IF(D118&lt;=0.01,"PASS","FAIL")</f>
        <v>PASS</v>
      </c>
    </row>
    <row r="119" customFormat="false" ht="15" hidden="false" customHeight="false" outlineLevel="0" collapsed="false">
      <c r="A119" s="3" t="s">
        <v>300</v>
      </c>
      <c r="B119" s="13" t="n">
        <f aca="false">Scenarios!G12</f>
        <v>5</v>
      </c>
      <c r="C119" s="13" t="n">
        <f aca="false">Python_Ref!O11</f>
        <v>5</v>
      </c>
      <c r="D119" s="13" t="n">
        <f aca="false">ABS(B119-C119)</f>
        <v>0</v>
      </c>
      <c r="E119" s="3" t="str">
        <f aca="false">IF(D119&lt;=0,"PASS","FAIL")</f>
        <v>PASS</v>
      </c>
    </row>
    <row r="120" customFormat="false" ht="15" hidden="false" customHeight="false" outlineLevel="0" collapsed="false">
      <c r="A120" s="3" t="s">
        <v>301</v>
      </c>
      <c r="B120" s="13" t="n">
        <f aca="false">Scenarios!C12</f>
        <v>37.1901259108218</v>
      </c>
      <c r="C120" s="13" t="n">
        <f aca="false">Python_Ref!K11</f>
        <v>37.1901259108218</v>
      </c>
      <c r="D120" s="13" t="n">
        <f aca="false">ABS(B120-C120)</f>
        <v>0</v>
      </c>
      <c r="E120" s="3" t="str">
        <f aca="false">IF(D120&lt;=0.01,"PASS","FAIL")</f>
        <v>PASS</v>
      </c>
    </row>
    <row r="121" customFormat="false" ht="15" hidden="false" customHeight="false" outlineLevel="0" collapsed="false">
      <c r="A121" s="3" t="s">
        <v>302</v>
      </c>
      <c r="B121" s="13" t="n">
        <f aca="false">Scenarios!H12</f>
        <v>7</v>
      </c>
      <c r="C121" s="13" t="n">
        <f aca="false">Python_Ref!P11</f>
        <v>7</v>
      </c>
      <c r="D121" s="13" t="n">
        <f aca="false">ABS(B121-C121)</f>
        <v>0</v>
      </c>
      <c r="E121" s="3" t="str">
        <f aca="false">IF(D121&lt;=0,"PASS","FAIL")</f>
        <v>PASS</v>
      </c>
    </row>
    <row r="122" customFormat="false" ht="15" hidden="false" customHeight="false" outlineLevel="0" collapsed="false">
      <c r="A122" s="3" t="s">
        <v>303</v>
      </c>
      <c r="B122" s="13" t="n">
        <f aca="false">Scenarios!D12</f>
        <v>41.4368410872164</v>
      </c>
      <c r="C122" s="13" t="n">
        <f aca="false">Python_Ref!L11</f>
        <v>41.4368410872164</v>
      </c>
      <c r="D122" s="13" t="n">
        <f aca="false">ABS(B122-C122)</f>
        <v>0</v>
      </c>
      <c r="E122" s="3" t="str">
        <f aca="false">IF(D122&lt;=0.01,"PASS","FAIL")</f>
        <v>PASS</v>
      </c>
    </row>
    <row r="123" customFormat="false" ht="15" hidden="false" customHeight="false" outlineLevel="0" collapsed="false">
      <c r="A123" s="3" t="s">
        <v>304</v>
      </c>
      <c r="B123" s="13" t="n">
        <f aca="false">Scenarios!I12</f>
        <v>5</v>
      </c>
      <c r="C123" s="13" t="n">
        <f aca="false">Python_Ref!Q11</f>
        <v>5</v>
      </c>
      <c r="D123" s="13" t="n">
        <f aca="false">ABS(B123-C123)</f>
        <v>0</v>
      </c>
      <c r="E123" s="3" t="str">
        <f aca="false">IF(D123&lt;=0,"PASS","FAIL")</f>
        <v>PASS</v>
      </c>
    </row>
    <row r="124" customFormat="false" ht="15" hidden="false" customHeight="false" outlineLevel="0" collapsed="false">
      <c r="A124" s="3" t="s">
        <v>305</v>
      </c>
      <c r="B124" s="13" t="n">
        <f aca="false">Scenarios!E12</f>
        <v>60.6329827338071</v>
      </c>
      <c r="C124" s="13" t="n">
        <f aca="false">Python_Ref!M11</f>
        <v>60.6329827338071</v>
      </c>
      <c r="D124" s="13" t="n">
        <f aca="false">ABS(B124-C124)</f>
        <v>0</v>
      </c>
      <c r="E124" s="3" t="str">
        <f aca="false">IF(D124&lt;=0.01,"PASS","FAIL")</f>
        <v>PASS</v>
      </c>
    </row>
    <row r="125" customFormat="false" ht="15" hidden="false" customHeight="false" outlineLevel="0" collapsed="false">
      <c r="A125" s="3" t="s">
        <v>306</v>
      </c>
      <c r="B125" s="13" t="n">
        <f aca="false">Scenarios!J12</f>
        <v>2</v>
      </c>
      <c r="C125" s="13" t="n">
        <f aca="false">Python_Ref!R11</f>
        <v>2</v>
      </c>
      <c r="D125" s="13" t="n">
        <f aca="false">ABS(B125-C125)</f>
        <v>0</v>
      </c>
      <c r="E125" s="3" t="str">
        <f aca="false">IF(D125&lt;=0,"PASS","FAIL")</f>
        <v>PASS</v>
      </c>
    </row>
    <row r="126" customFormat="false" ht="15" hidden="false" customHeight="false" outlineLevel="0" collapsed="false">
      <c r="A126" s="3" t="s">
        <v>307</v>
      </c>
      <c r="B126" s="13" t="n">
        <f aca="false">Scenarios!F12</f>
        <v>41.5254256896307</v>
      </c>
      <c r="C126" s="13" t="n">
        <f aca="false">Python_Ref!N11</f>
        <v>41.5254256896307</v>
      </c>
      <c r="D126" s="13" t="n">
        <f aca="false">ABS(B126-C126)</f>
        <v>0</v>
      </c>
      <c r="E126" s="3" t="str">
        <f aca="false">IF(D126&lt;=0.01,"PASS","FAIL")</f>
        <v>PASS</v>
      </c>
    </row>
    <row r="127" customFormat="false" ht="15" hidden="false" customHeight="false" outlineLevel="0" collapsed="false">
      <c r="A127" s="3" t="s">
        <v>308</v>
      </c>
      <c r="B127" s="13" t="n">
        <f aca="false">Scenarios!K12</f>
        <v>5</v>
      </c>
      <c r="C127" s="13" t="n">
        <f aca="false">Python_Ref!S11</f>
        <v>5</v>
      </c>
      <c r="D127" s="13" t="n">
        <f aca="false">ABS(B127-C127)</f>
        <v>0</v>
      </c>
      <c r="E127" s="3" t="str">
        <f aca="false">IF(D127&lt;=0,"PASS","FAIL")</f>
        <v>PASS</v>
      </c>
    </row>
    <row r="128" customFormat="false" ht="15" hidden="false" customHeight="false" outlineLevel="0" collapsed="false">
      <c r="A128" s="3" t="s">
        <v>309</v>
      </c>
      <c r="B128" s="13" t="n">
        <f aca="false">Scorecard!B14</f>
        <v>1794502</v>
      </c>
      <c r="C128" s="13" t="n">
        <f aca="false">Python_Ref!B12</f>
        <v>1794502</v>
      </c>
      <c r="D128" s="13" t="n">
        <f aca="false">ABS(B128-C128)</f>
        <v>0</v>
      </c>
      <c r="E128" s="3" t="str">
        <f aca="false">IF(D128&lt;=0.5,"PASS","FAIL")</f>
        <v>PASS</v>
      </c>
    </row>
    <row r="129" customFormat="false" ht="15" hidden="false" customHeight="false" outlineLevel="0" collapsed="false">
      <c r="A129" s="3" t="s">
        <v>310</v>
      </c>
      <c r="B129" s="13" t="n">
        <f aca="false">Scorecard!D14</f>
        <v>4.8998615171385</v>
      </c>
      <c r="C129" s="13" t="n">
        <f aca="false">Python_Ref!D12</f>
        <v>4.8998615171385</v>
      </c>
      <c r="D129" s="13" t="n">
        <f aca="false">ABS(B129-C129)</f>
        <v>0</v>
      </c>
      <c r="E129" s="3" t="str">
        <f aca="false">IF(D129&lt;=0.001,"PASS","FAIL")</f>
        <v>PASS</v>
      </c>
    </row>
    <row r="130" customFormat="false" ht="15" hidden="false" customHeight="false" outlineLevel="0" collapsed="false">
      <c r="A130" s="3" t="s">
        <v>311</v>
      </c>
      <c r="B130" s="13" t="n">
        <f aca="false">Scorecard!E14</f>
        <v>4.51637808531606</v>
      </c>
      <c r="C130" s="13" t="n">
        <f aca="false">Python_Ref!E12</f>
        <v>4.51637808531606</v>
      </c>
      <c r="D130" s="13" t="n">
        <f aca="false">ABS(B130-C130)</f>
        <v>0</v>
      </c>
      <c r="E130" s="3" t="str">
        <f aca="false">IF(D130&lt;=0.001,"PASS","FAIL")</f>
        <v>PASS</v>
      </c>
    </row>
    <row r="131" customFormat="false" ht="15" hidden="false" customHeight="false" outlineLevel="0" collapsed="false">
      <c r="A131" s="3" t="s">
        <v>312</v>
      </c>
      <c r="B131" s="13" t="n">
        <f aca="false">Scorecard!F14</f>
        <v>5.50216072514711</v>
      </c>
      <c r="C131" s="13" t="n">
        <f aca="false">Python_Ref!F12</f>
        <v>5.50216072514711</v>
      </c>
      <c r="D131" s="13" t="n">
        <f aca="false">ABS(B131-C131)</f>
        <v>0</v>
      </c>
      <c r="E131" s="3" t="str">
        <f aca="false">IF(D131&lt;=0.001,"PASS","FAIL")</f>
        <v>PASS</v>
      </c>
    </row>
    <row r="132" customFormat="false" ht="15" hidden="false" customHeight="false" outlineLevel="0" collapsed="false">
      <c r="A132" s="3" t="s">
        <v>313</v>
      </c>
      <c r="B132" s="13" t="n">
        <f aca="false">Scorecard!H14</f>
        <v>24.1125318381984</v>
      </c>
      <c r="C132" s="13" t="n">
        <f aca="false">Python_Ref!H12</f>
        <v>24.1125318381984</v>
      </c>
      <c r="D132" s="13" t="n">
        <f aca="false">ABS(B132-C132)</f>
        <v>0</v>
      </c>
      <c r="E132" s="3" t="str">
        <f aca="false">IF(D132&lt;=0.001,"PASS","FAIL")</f>
        <v>PASS</v>
      </c>
    </row>
    <row r="133" customFormat="false" ht="15" hidden="false" customHeight="false" outlineLevel="0" collapsed="false">
      <c r="A133" s="3" t="s">
        <v>314</v>
      </c>
      <c r="B133" s="13" t="n">
        <f aca="false">Scorecard!I14</f>
        <v>9.20241076821064</v>
      </c>
      <c r="C133" s="13" t="n">
        <f aca="false">Python_Ref!I12</f>
        <v>9.20241076821063</v>
      </c>
      <c r="D133" s="13" t="n">
        <f aca="false">ABS(B133-C133)</f>
        <v>0</v>
      </c>
      <c r="E133" s="3" t="str">
        <f aca="false">IF(D133&lt;=0.001,"PASS","FAIL")</f>
        <v>PASS</v>
      </c>
    </row>
    <row r="134" customFormat="false" ht="15" hidden="false" customHeight="false" outlineLevel="0" collapsed="false">
      <c r="A134" s="3" t="s">
        <v>315</v>
      </c>
      <c r="B134" s="13" t="n">
        <f aca="false">Scenarios!B13</f>
        <v>41.5386836277037</v>
      </c>
      <c r="C134" s="13" t="n">
        <f aca="false">Python_Ref!J12</f>
        <v>41.5386836277038</v>
      </c>
      <c r="D134" s="13" t="n">
        <f aca="false">ABS(B134-C134)</f>
        <v>0</v>
      </c>
      <c r="E134" s="3" t="str">
        <f aca="false">IF(D134&lt;=0.01,"PASS","FAIL")</f>
        <v>PASS</v>
      </c>
    </row>
    <row r="135" customFormat="false" ht="15" hidden="false" customHeight="false" outlineLevel="0" collapsed="false">
      <c r="A135" s="3" t="s">
        <v>316</v>
      </c>
      <c r="B135" s="13" t="n">
        <f aca="false">Scenarios!G13</f>
        <v>6</v>
      </c>
      <c r="C135" s="13" t="n">
        <f aca="false">Python_Ref!O12</f>
        <v>6</v>
      </c>
      <c r="D135" s="13" t="n">
        <f aca="false">ABS(B135-C135)</f>
        <v>0</v>
      </c>
      <c r="E135" s="3" t="str">
        <f aca="false">IF(D135&lt;=0,"PASS","FAIL")</f>
        <v>PASS</v>
      </c>
    </row>
    <row r="136" customFormat="false" ht="15" hidden="false" customHeight="false" outlineLevel="0" collapsed="false">
      <c r="A136" s="3" t="s">
        <v>317</v>
      </c>
      <c r="B136" s="13" t="n">
        <f aca="false">Scenarios!C13</f>
        <v>42.5731533586111</v>
      </c>
      <c r="C136" s="13" t="n">
        <f aca="false">Python_Ref!K12</f>
        <v>42.5731533586112</v>
      </c>
      <c r="D136" s="13" t="n">
        <f aca="false">ABS(B136-C136)</f>
        <v>0</v>
      </c>
      <c r="E136" s="3" t="str">
        <f aca="false">IF(D136&lt;=0.01,"PASS","FAIL")</f>
        <v>PASS</v>
      </c>
    </row>
    <row r="137" customFormat="false" ht="15" hidden="false" customHeight="false" outlineLevel="0" collapsed="false">
      <c r="A137" s="3" t="s">
        <v>318</v>
      </c>
      <c r="B137" s="13" t="n">
        <f aca="false">Scenarios!H13</f>
        <v>6</v>
      </c>
      <c r="C137" s="13" t="n">
        <f aca="false">Python_Ref!P12</f>
        <v>6</v>
      </c>
      <c r="D137" s="13" t="n">
        <f aca="false">ABS(B137-C137)</f>
        <v>0</v>
      </c>
      <c r="E137" s="3" t="str">
        <f aca="false">IF(D137&lt;=0,"PASS","FAIL")</f>
        <v>PASS</v>
      </c>
    </row>
    <row r="138" customFormat="false" ht="15" hidden="false" customHeight="false" outlineLevel="0" collapsed="false">
      <c r="A138" s="3" t="s">
        <v>319</v>
      </c>
      <c r="B138" s="13" t="n">
        <f aca="false">Scenarios!D13</f>
        <v>32.7148842322656</v>
      </c>
      <c r="C138" s="13" t="n">
        <f aca="false">Python_Ref!L12</f>
        <v>32.7148842322656</v>
      </c>
      <c r="D138" s="13" t="n">
        <f aca="false">ABS(B138-C138)</f>
        <v>0</v>
      </c>
      <c r="E138" s="3" t="str">
        <f aca="false">IF(D138&lt;=0.01,"PASS","FAIL")</f>
        <v>PASS</v>
      </c>
    </row>
    <row r="139" customFormat="false" ht="15" hidden="false" customHeight="false" outlineLevel="0" collapsed="false">
      <c r="A139" s="3" t="s">
        <v>320</v>
      </c>
      <c r="B139" s="13" t="n">
        <f aca="false">Scenarios!I13</f>
        <v>7</v>
      </c>
      <c r="C139" s="13" t="n">
        <f aca="false">Python_Ref!Q12</f>
        <v>7</v>
      </c>
      <c r="D139" s="13" t="n">
        <f aca="false">ABS(B139-C139)</f>
        <v>0</v>
      </c>
      <c r="E139" s="3" t="str">
        <f aca="false">IF(D139&lt;=0,"PASS","FAIL")</f>
        <v>PASS</v>
      </c>
    </row>
    <row r="140" customFormat="false" ht="15" hidden="false" customHeight="false" outlineLevel="0" collapsed="false">
      <c r="A140" s="3" t="s">
        <v>321</v>
      </c>
      <c r="B140" s="13" t="n">
        <f aca="false">Scenarios!E13</f>
        <v>55.8225031429629</v>
      </c>
      <c r="C140" s="13" t="n">
        <f aca="false">Python_Ref!M12</f>
        <v>55.822503142963</v>
      </c>
      <c r="D140" s="13" t="n">
        <f aca="false">ABS(B140-C140)</f>
        <v>0</v>
      </c>
      <c r="E140" s="3" t="str">
        <f aca="false">IF(D140&lt;=0.01,"PASS","FAIL")</f>
        <v>PASS</v>
      </c>
    </row>
    <row r="141" customFormat="false" ht="15" hidden="false" customHeight="false" outlineLevel="0" collapsed="false">
      <c r="A141" s="3" t="s">
        <v>322</v>
      </c>
      <c r="B141" s="13" t="n">
        <f aca="false">Scenarios!J13</f>
        <v>5</v>
      </c>
      <c r="C141" s="13" t="n">
        <f aca="false">Python_Ref!R12</f>
        <v>5</v>
      </c>
      <c r="D141" s="13" t="n">
        <f aca="false">ABS(B141-C141)</f>
        <v>0</v>
      </c>
      <c r="E141" s="3" t="str">
        <f aca="false">IF(D141&lt;=0,"PASS","FAIL")</f>
        <v>PASS</v>
      </c>
    </row>
    <row r="142" customFormat="false" ht="15" hidden="false" customHeight="false" outlineLevel="0" collapsed="false">
      <c r="A142" s="3" t="s">
        <v>323</v>
      </c>
      <c r="B142" s="13" t="n">
        <f aca="false">Scenarios!F13</f>
        <v>39.5735918402833</v>
      </c>
      <c r="C142" s="13" t="n">
        <f aca="false">Python_Ref!N12</f>
        <v>39.5735918402834</v>
      </c>
      <c r="D142" s="13" t="n">
        <f aca="false">ABS(B142-C142)</f>
        <v>0</v>
      </c>
      <c r="E142" s="3" t="str">
        <f aca="false">IF(D142&lt;=0.01,"PASS","FAIL")</f>
        <v>PASS</v>
      </c>
    </row>
    <row r="143" customFormat="false" ht="15" hidden="false" customHeight="false" outlineLevel="0" collapsed="false">
      <c r="A143" s="3" t="s">
        <v>324</v>
      </c>
      <c r="B143" s="13" t="n">
        <f aca="false">Scenarios!K13</f>
        <v>6</v>
      </c>
      <c r="C143" s="13" t="n">
        <f aca="false">Python_Ref!S12</f>
        <v>6</v>
      </c>
      <c r="D143" s="13" t="n">
        <f aca="false">ABS(B143-C143)</f>
        <v>0</v>
      </c>
      <c r="E143" s="3" t="str">
        <f aca="false">IF(D143&lt;=0,"PASS","FAIL")</f>
        <v>PASS</v>
      </c>
    </row>
    <row r="144" customFormat="false" ht="15" hidden="false" customHeight="false" outlineLevel="0" collapsed="false">
      <c r="A144" s="3" t="s">
        <v>325</v>
      </c>
      <c r="B144" s="13" t="n">
        <f aca="false">Scorecard!B15</f>
        <v>892166</v>
      </c>
      <c r="C144" s="13" t="n">
        <f aca="false">Python_Ref!B13</f>
        <v>892166</v>
      </c>
      <c r="D144" s="13" t="n">
        <f aca="false">ABS(B144-C144)</f>
        <v>0</v>
      </c>
      <c r="E144" s="3" t="str">
        <f aca="false">IF(D144&lt;=0.5,"PASS","FAIL")</f>
        <v>PASS</v>
      </c>
    </row>
    <row r="145" customFormat="false" ht="15" hidden="false" customHeight="false" outlineLevel="0" collapsed="false">
      <c r="A145" s="3" t="s">
        <v>326</v>
      </c>
      <c r="B145" s="13" t="n">
        <f aca="false">Scorecard!D15</f>
        <v>1.97628006711807</v>
      </c>
      <c r="C145" s="13" t="n">
        <f aca="false">Python_Ref!D13</f>
        <v>1.97628006711808</v>
      </c>
      <c r="D145" s="13" t="n">
        <f aca="false">ABS(B145-C145)</f>
        <v>0</v>
      </c>
      <c r="E145" s="3" t="str">
        <f aca="false">IF(D145&lt;=0.001,"PASS","FAIL")</f>
        <v>PASS</v>
      </c>
    </row>
    <row r="146" customFormat="false" ht="15" hidden="false" customHeight="false" outlineLevel="0" collapsed="false">
      <c r="A146" s="3" t="s">
        <v>327</v>
      </c>
      <c r="B146" s="13" t="n">
        <f aca="false">Scorecard!E15</f>
        <v>2.41872537228496</v>
      </c>
      <c r="C146" s="13" t="n">
        <f aca="false">Python_Ref!E13</f>
        <v>2.41872537228496</v>
      </c>
      <c r="D146" s="13" t="n">
        <f aca="false">ABS(B146-C146)</f>
        <v>0</v>
      </c>
      <c r="E146" s="3" t="str">
        <f aca="false">IF(D146&lt;=0.001,"PASS","FAIL")</f>
        <v>PASS</v>
      </c>
    </row>
    <row r="147" customFormat="false" ht="15" hidden="false" customHeight="false" outlineLevel="0" collapsed="false">
      <c r="A147" s="3" t="s">
        <v>328</v>
      </c>
      <c r="B147" s="13" t="n">
        <f aca="false">Scorecard!F15</f>
        <v>4.41583459952246</v>
      </c>
      <c r="C147" s="13" t="n">
        <f aca="false">Python_Ref!F13</f>
        <v>4.41583459952246</v>
      </c>
      <c r="D147" s="13" t="n">
        <f aca="false">ABS(B147-C147)</f>
        <v>0</v>
      </c>
      <c r="E147" s="3" t="str">
        <f aca="false">IF(D147&lt;=0.001,"PASS","FAIL")</f>
        <v>PASS</v>
      </c>
    </row>
    <row r="148" customFormat="false" ht="15" hidden="false" customHeight="false" outlineLevel="0" collapsed="false">
      <c r="A148" s="3" t="s">
        <v>329</v>
      </c>
      <c r="B148" s="13" t="n">
        <f aca="false">Scorecard!H15</f>
        <v>18.3985587428693</v>
      </c>
      <c r="C148" s="13" t="n">
        <f aca="false">Python_Ref!H13</f>
        <v>18.3985587428693</v>
      </c>
      <c r="D148" s="13" t="n">
        <f aca="false">ABS(B148-C148)</f>
        <v>0</v>
      </c>
      <c r="E148" s="3" t="str">
        <f aca="false">IF(D148&lt;=0.001,"PASS","FAIL")</f>
        <v>PASS</v>
      </c>
    </row>
    <row r="149" customFormat="false" ht="15" hidden="false" customHeight="false" outlineLevel="0" collapsed="false">
      <c r="A149" s="3" t="s">
        <v>330</v>
      </c>
      <c r="B149" s="13" t="n">
        <f aca="false">Scorecard!I15</f>
        <v>30</v>
      </c>
      <c r="C149" s="13" t="n">
        <f aca="false">Python_Ref!I13</f>
        <v>30</v>
      </c>
      <c r="D149" s="13" t="n">
        <f aca="false">ABS(B149-C149)</f>
        <v>0</v>
      </c>
      <c r="E149" s="3" t="str">
        <f aca="false">IF(D149&lt;=0.001,"PASS","FAIL")</f>
        <v>PASS</v>
      </c>
    </row>
    <row r="150" customFormat="false" ht="15" hidden="false" customHeight="false" outlineLevel="0" collapsed="false">
      <c r="A150" s="3" t="s">
        <v>331</v>
      </c>
      <c r="B150" s="13" t="n">
        <f aca="false">Scenarios!B14</f>
        <v>30.4775076577492</v>
      </c>
      <c r="C150" s="13" t="n">
        <f aca="false">Python_Ref!J13</f>
        <v>30.4775076577493</v>
      </c>
      <c r="D150" s="13" t="n">
        <f aca="false">ABS(B150-C150)</f>
        <v>0</v>
      </c>
      <c r="E150" s="3" t="str">
        <f aca="false">IF(D150&lt;=0.01,"PASS","FAIL")</f>
        <v>PASS</v>
      </c>
    </row>
    <row r="151" customFormat="false" ht="15" hidden="false" customHeight="false" outlineLevel="0" collapsed="false">
      <c r="A151" s="3" t="s">
        <v>332</v>
      </c>
      <c r="B151" s="13" t="n">
        <f aca="false">Scenarios!G14</f>
        <v>9</v>
      </c>
      <c r="C151" s="13" t="n">
        <f aca="false">Python_Ref!O13</f>
        <v>9</v>
      </c>
      <c r="D151" s="13" t="n">
        <f aca="false">ABS(B151-C151)</f>
        <v>0</v>
      </c>
      <c r="E151" s="3" t="str">
        <f aca="false">IF(D151&lt;=0,"PASS","FAIL")</f>
        <v>PASS</v>
      </c>
    </row>
    <row r="152" customFormat="false" ht="15" hidden="false" customHeight="false" outlineLevel="0" collapsed="false">
      <c r="A152" s="3" t="s">
        <v>333</v>
      </c>
      <c r="B152" s="13" t="n">
        <f aca="false">Scenarios!C14</f>
        <v>26.9735110732462</v>
      </c>
      <c r="C152" s="13" t="n">
        <f aca="false">Python_Ref!K13</f>
        <v>26.9735110732463</v>
      </c>
      <c r="D152" s="13" t="n">
        <f aca="false">ABS(B152-C152)</f>
        <v>1.27897692436818E-013</v>
      </c>
      <c r="E152" s="3" t="str">
        <f aca="false">IF(D152&lt;=0.01,"PASS","FAIL")</f>
        <v>PASS</v>
      </c>
    </row>
    <row r="153" customFormat="false" ht="15" hidden="false" customHeight="false" outlineLevel="0" collapsed="false">
      <c r="A153" s="3" t="s">
        <v>334</v>
      </c>
      <c r="B153" s="13" t="n">
        <f aca="false">Scenarios!H14</f>
        <v>9</v>
      </c>
      <c r="C153" s="13" t="n">
        <f aca="false">Python_Ref!P13</f>
        <v>9</v>
      </c>
      <c r="D153" s="13" t="n">
        <f aca="false">ABS(B153-C153)</f>
        <v>0</v>
      </c>
      <c r="E153" s="3" t="str">
        <f aca="false">IF(D153&lt;=0,"PASS","FAIL")</f>
        <v>PASS</v>
      </c>
    </row>
    <row r="154" customFormat="false" ht="15" hidden="false" customHeight="false" outlineLevel="0" collapsed="false">
      <c r="A154" s="3" t="s">
        <v>335</v>
      </c>
      <c r="B154" s="13" t="n">
        <f aca="false">Scenarios!D14</f>
        <v>30.4701574459283</v>
      </c>
      <c r="C154" s="13" t="n">
        <f aca="false">Python_Ref!L13</f>
        <v>30.4701574459283</v>
      </c>
      <c r="D154" s="13" t="n">
        <f aca="false">ABS(B154-C154)</f>
        <v>0</v>
      </c>
      <c r="E154" s="3" t="str">
        <f aca="false">IF(D154&lt;=0.01,"PASS","FAIL")</f>
        <v>PASS</v>
      </c>
    </row>
    <row r="155" customFormat="false" ht="15" hidden="false" customHeight="false" outlineLevel="0" collapsed="false">
      <c r="A155" s="3" t="s">
        <v>336</v>
      </c>
      <c r="B155" s="13" t="n">
        <f aca="false">Scenarios!I14</f>
        <v>9</v>
      </c>
      <c r="C155" s="13" t="n">
        <f aca="false">Python_Ref!Q13</f>
        <v>9</v>
      </c>
      <c r="D155" s="13" t="n">
        <f aca="false">ABS(B155-C155)</f>
        <v>0</v>
      </c>
      <c r="E155" s="3" t="str">
        <f aca="false">IF(D155&lt;=0,"PASS","FAIL")</f>
        <v>PASS</v>
      </c>
    </row>
    <row r="156" customFormat="false" ht="15" hidden="false" customHeight="false" outlineLevel="0" collapsed="false">
      <c r="A156" s="3" t="s">
        <v>337</v>
      </c>
      <c r="B156" s="13" t="n">
        <f aca="false">Scenarios!E14</f>
        <v>33.1596283937534</v>
      </c>
      <c r="C156" s="13" t="n">
        <f aca="false">Python_Ref!M13</f>
        <v>33.1596283937535</v>
      </c>
      <c r="D156" s="13" t="n">
        <f aca="false">ABS(B156-C156)</f>
        <v>0</v>
      </c>
      <c r="E156" s="3" t="str">
        <f aca="false">IF(D156&lt;=0.01,"PASS","FAIL")</f>
        <v>PASS</v>
      </c>
    </row>
    <row r="157" customFormat="false" ht="15" hidden="false" customHeight="false" outlineLevel="0" collapsed="false">
      <c r="A157" s="3" t="s">
        <v>338</v>
      </c>
      <c r="B157" s="13" t="n">
        <f aca="false">Scenarios!J14</f>
        <v>6</v>
      </c>
      <c r="C157" s="13" t="n">
        <f aca="false">Python_Ref!R13</f>
        <v>6</v>
      </c>
      <c r="D157" s="13" t="n">
        <f aca="false">ABS(B157-C157)</f>
        <v>0</v>
      </c>
      <c r="E157" s="3" t="str">
        <f aca="false">IF(D157&lt;=0,"PASS","FAIL")</f>
        <v>PASS</v>
      </c>
    </row>
    <row r="158" customFormat="false" ht="15" hidden="false" customHeight="false" outlineLevel="0" collapsed="false">
      <c r="A158" s="3" t="s">
        <v>339</v>
      </c>
      <c r="B158" s="13" t="n">
        <f aca="false">Scenarios!F14</f>
        <v>28.9522542333084</v>
      </c>
      <c r="C158" s="13" t="n">
        <f aca="false">Python_Ref!N13</f>
        <v>28.9522542333084</v>
      </c>
      <c r="D158" s="13" t="n">
        <f aca="false">ABS(B158-C158)</f>
        <v>0</v>
      </c>
      <c r="E158" s="3" t="str">
        <f aca="false">IF(D158&lt;=0.01,"PASS","FAIL")</f>
        <v>PASS</v>
      </c>
    </row>
    <row r="159" customFormat="false" ht="15" hidden="false" customHeight="false" outlineLevel="0" collapsed="false">
      <c r="A159" s="3" t="s">
        <v>340</v>
      </c>
      <c r="B159" s="13" t="n">
        <f aca="false">Scenarios!K14</f>
        <v>9</v>
      </c>
      <c r="C159" s="13" t="n">
        <f aca="false">Python_Ref!S13</f>
        <v>9</v>
      </c>
      <c r="D159" s="13" t="n">
        <f aca="false">ABS(B159-C159)</f>
        <v>0</v>
      </c>
      <c r="E159" s="3" t="str">
        <f aca="false">IF(D159&lt;=0,"PASS","FAIL")</f>
        <v>PASS</v>
      </c>
    </row>
    <row r="160" customFormat="false" ht="15" hidden="false" customHeight="false" outlineLevel="0" collapsed="false">
      <c r="A160" s="3" t="s">
        <v>341</v>
      </c>
      <c r="B160" s="13" t="n">
        <f aca="false">Credit_Raw!C16</f>
        <v>4347164.1</v>
      </c>
      <c r="C160" s="13" t="n">
        <v>4347164.1</v>
      </c>
      <c r="D160" s="13" t="n">
        <f aca="false">ABS(B160-C160)</f>
        <v>0</v>
      </c>
      <c r="E160" s="3" t="str">
        <f aca="false">IF(D160&lt;=0.5,"PASS","FAIL")</f>
        <v>PASS</v>
      </c>
    </row>
    <row r="161" customFormat="false" ht="15" hidden="false" customHeight="false" outlineLevel="0" collapsed="false">
      <c r="A161" s="3" t="s">
        <v>342</v>
      </c>
      <c r="B161" s="13" t="n">
        <f aca="false">Credit_Raw!D16</f>
        <v>696931.1</v>
      </c>
      <c r="C161" s="13" t="n">
        <v>696931</v>
      </c>
      <c r="D161" s="13" t="n">
        <f aca="false">ABS(B161-C161)</f>
        <v>0.0999999999767169</v>
      </c>
      <c r="E161" s="3" t="str">
        <f aca="false">IF(D161&lt;=0.5,"PASS","FAIL")</f>
        <v>PASS</v>
      </c>
    </row>
    <row r="162" customFormat="false" ht="15" hidden="false" customHeight="false" outlineLevel="0" collapsed="false">
      <c r="A162" s="3" t="s">
        <v>343</v>
      </c>
      <c r="B162" s="13" t="n">
        <f aca="false">ROUND(Credit_Raw!E16,1)</f>
        <v>16</v>
      </c>
      <c r="C162" s="13" t="n">
        <v>16</v>
      </c>
      <c r="D162" s="13" t="n">
        <f aca="false">ABS(B162-C162)</f>
        <v>0</v>
      </c>
      <c r="E162" s="3" t="str">
        <f aca="false">IF(D162&lt;=0.001,"PASS","FAIL")</f>
        <v>PASS</v>
      </c>
    </row>
    <row r="163" customFormat="false" ht="15" hidden="false" customHeight="false" outlineLevel="0" collapsed="false">
      <c r="A163" s="3" t="s">
        <v>344</v>
      </c>
      <c r="B163" s="13" t="n">
        <f aca="false">ROUND((GDP!E22/GDP!D22-1)*100,1)</f>
        <v>4.8</v>
      </c>
      <c r="C163" s="13" t="n">
        <v>4.8</v>
      </c>
      <c r="D163" s="13" t="n">
        <f aca="false">ABS(B163-C163)</f>
        <v>0</v>
      </c>
      <c r="E163" s="3" t="str">
        <f aca="false">IF(D163&lt;=0.05,"PASS","FAIL")</f>
        <v>PASS</v>
      </c>
    </row>
    <row r="164" customFormat="false" ht="15" hidden="false" customHeight="false" outlineLevel="0" collapsed="false">
      <c r="A164" s="3" t="s">
        <v>345</v>
      </c>
      <c r="B164" s="13" t="n">
        <f aca="false">ROUND((GDP!G22/GDP!F22-1)*100,1)</f>
        <v>5.4</v>
      </c>
      <c r="C164" s="13" t="n">
        <v>5.4</v>
      </c>
      <c r="D164" s="13" t="n">
        <f aca="false">ABS(B164-C164)</f>
        <v>0</v>
      </c>
      <c r="E164" s="3" t="str">
        <f aca="false">IF(D164&lt;=0.05,"PASS","FAIL")</f>
        <v>PASS</v>
      </c>
    </row>
    <row r="166" customFormat="false" ht="15" hidden="false" customHeight="false" outlineLevel="0" collapsed="false">
      <c r="A166" s="4" t="s">
        <v>346</v>
      </c>
      <c r="E166" s="4" t="str">
        <f aca="false">IF(COUNTIF(E4:E164,"FAIL")=0,"ALL CHECKS PASS","CHECK FAILURES")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2026-10-21T10:23:25Z</dcterms:created>
  <dc:creator>openpyxl</dc:creator>
  <dc:description/>
  <dc:language>en-US</dc:language>
  <cp:lastModifiedBy/>
  <dcterms:modified xsi:type="dcterms:W3CDTF">2026-10-21T10:23:25Z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